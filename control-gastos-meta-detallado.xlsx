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Anuncios" sheetId="2" state="visible" r:id="rId2"/>
    <sheet name="Configuración" sheetId="3" state="visible" r:id="rId3"/>
    <sheet name="Registro" sheetId="4" state="visible" r:id="rId4"/>
  </sheets>
  <definedNames>
    <definedName name="TICKET">'Configuración'!$B$10</definedName>
    <definedName name="COM">'Configuración'!$B$12</definedName>
    <definedName name="COM_SHOP">'Configuración'!$B$13</definedName>
    <definedName name="IMP_META">'Configuración'!$B$14</definedName>
    <definedName name="CPA_BE">'Configuración'!$B$16</definedName>
    <definedName name="ROAS_BE">'Configuración'!$B$17</definedName>
    <definedName name="MIN_VENTAS">'Configuración'!$B$20</definedName>
    <definedName name="K_SIN_VENTA">'Configuración'!$B$21</definedName>
    <definedName name="K_CARO">'Configuración'!$B$22</definedName>
    <definedName name="TOL">'Configuración'!$B$23</definedName>
  </definedNames>
  <calcPr calcId="124519" fullCalcOnLoad="1"/>
</workbook>
</file>

<file path=xl/styles.xml><?xml version="1.0" encoding="utf-8"?>
<styleSheet xmlns="http://schemas.openxmlformats.org/spreadsheetml/2006/main">
  <numFmts count="10">
    <numFmt numFmtId="164" formatCode="$ #,##0;-$ #,##0;-"/>
    <numFmt numFmtId="165" formatCode="#,##0;-#,##0;-"/>
    <numFmt numFmtId="166" formatCode="0.00%;-0.00%;-"/>
    <numFmt numFmtId="167" formatCode="0.00&quot;x&quot;;-0.00&quot;x&quot;;-"/>
    <numFmt numFmtId="168" formatCode="0.0&quot;x&quot;"/>
    <numFmt numFmtId="169" formatCode="dd/mm/yyyy"/>
    <numFmt numFmtId="170" formatCode="0.0&quot;x&quot;;-0.0&quot;x&quot;;-"/>
    <numFmt numFmtId="171" formatCode="+0%;-0%;0%"/>
    <numFmt numFmtId="172" formatCode="yyyy-mm-dd"/>
    <numFmt numFmtId="173" formatCode="mmm yyyy"/>
  </numFmts>
  <fonts count="13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</font>
    <font>
      <name val="Arial"/>
      <color rgb="000000FF"/>
    </font>
    <font>
      <name val="Arial"/>
      <i val="1"/>
      <color rgb="00666666"/>
      <sz val="9"/>
    </font>
    <font>
      <name val="Arial"/>
      <b val="1"/>
      <sz val="12"/>
    </font>
    <font>
      <name val="Arial"/>
      <b val="1"/>
      <color rgb="00FFFFFF"/>
    </font>
    <font>
      <name val="Arial"/>
      <b val="1"/>
      <sz val="16"/>
    </font>
    <font>
      <name val="Arial"/>
      <b val="1"/>
      <color rgb="001F3A5F"/>
    </font>
    <font>
      <name val="Arial"/>
      <b val="1"/>
      <color rgb="00666666"/>
      <sz val="9"/>
    </font>
    <font>
      <name val="Arial"/>
      <b val="1"/>
      <sz val="13"/>
    </font>
    <font>
      <name val="Arial"/>
      <color rgb="00008000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1F3A5F"/>
      </patternFill>
    </fill>
    <fill>
      <patternFill patternType="solid">
        <fgColor rgb="007A4E9A"/>
      </patternFill>
    </fill>
    <fill>
      <patternFill patternType="solid">
        <fgColor rgb="002E7D4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164" fontId="11" fillId="0" borderId="1" pivotButton="0" quotePrefix="0" xfId="0"/>
    <xf numFmtId="167" fontId="11" fillId="0" borderId="1" pivotButton="0" quotePrefix="0" xfId="0"/>
    <xf numFmtId="165" fontId="11" fillId="0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4" borderId="0" applyAlignment="1" pivotButton="0" quotePrefix="0" xfId="0">
      <alignment horizontal="center" vertical="center" wrapText="1"/>
    </xf>
    <xf numFmtId="0" fontId="2" fillId="0" borderId="1" pivotButton="0" quotePrefix="0" xfId="0"/>
    <xf numFmtId="164" fontId="3" fillId="0" borderId="1" pivotButton="0" quotePrefix="0" xfId="0"/>
    <xf numFmtId="167" fontId="3" fillId="0" borderId="1" pivotButton="0" quotePrefix="0" xfId="0"/>
    <xf numFmtId="165" fontId="3" fillId="0" borderId="1" pivotButton="0" quotePrefix="0" xfId="0"/>
    <xf numFmtId="166" fontId="3" fillId="0" borderId="1" pivotButton="0" quotePrefix="0" xfId="0"/>
    <xf numFmtId="0" fontId="12" fillId="0" borderId="1" pivotButton="0" quotePrefix="0" xfId="0"/>
    <xf numFmtId="0" fontId="3" fillId="0" borderId="0" applyAlignment="1" pivotButton="0" quotePrefix="0" xfId="0">
      <alignment horizontal="right"/>
    </xf>
    <xf numFmtId="173" fontId="4" fillId="2" borderId="1" pivotButton="0" quotePrefix="0" xfId="0"/>
    <xf numFmtId="173" fontId="3" fillId="0" borderId="1" pivotButton="0" quotePrefix="0" xfId="0"/>
    <xf numFmtId="169" fontId="3" fillId="0" borderId="1" pivotButton="0" quotePrefix="0" xfId="0"/>
    <xf numFmtId="0" fontId="9" fillId="0" borderId="0" pivotButton="0" quotePrefix="0" xfId="0"/>
    <xf numFmtId="0" fontId="7" fillId="4" borderId="0" applyAlignment="1" pivotButton="0" quotePrefix="0" xfId="0">
      <alignment horizontal="center"/>
    </xf>
    <xf numFmtId="0" fontId="7" fillId="5" borderId="0" applyAlignment="1" pivotButton="0" quotePrefix="0" xfId="0">
      <alignment horizontal="center"/>
    </xf>
    <xf numFmtId="0" fontId="7" fillId="6" borderId="0" applyAlignment="1" pivotButton="0" quotePrefix="0" xfId="0">
      <alignment horizontal="center"/>
    </xf>
    <xf numFmtId="0" fontId="4" fillId="2" borderId="1" pivotButton="0" quotePrefix="0" xfId="0"/>
    <xf numFmtId="170" fontId="3" fillId="0" borderId="1" pivotButton="0" quotePrefix="0" xfId="0"/>
    <xf numFmtId="171" fontId="3" fillId="0" borderId="1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2" borderId="1" pivotButton="0" quotePrefix="0" xfId="0"/>
    <xf numFmtId="9" fontId="4" fillId="2" borderId="1" pivotButton="0" quotePrefix="0" xfId="0"/>
    <xf numFmtId="165" fontId="4" fillId="2" borderId="1" pivotButton="0" quotePrefix="0" xfId="0"/>
    <xf numFmtId="166" fontId="4" fillId="2" borderId="1" pivotButton="0" quotePrefix="0" xfId="0"/>
    <xf numFmtId="164" fontId="6" fillId="3" borderId="1" pivotButton="0" quotePrefix="0" xfId="0"/>
    <xf numFmtId="167" fontId="6" fillId="3" borderId="1" pivotButton="0" quotePrefix="0" xfId="0"/>
    <xf numFmtId="168" fontId="4" fillId="2" borderId="1" pivotButton="0" quotePrefix="0" xfId="0"/>
    <xf numFmtId="169" fontId="4" fillId="0" borderId="1" pivotButton="0" quotePrefix="0" xfId="0"/>
    <xf numFmtId="0" fontId="4" fillId="0" borderId="1" pivotButton="0" quotePrefix="0" xfId="0"/>
    <xf numFmtId="0" fontId="3" fillId="0" borderId="1" pivotButton="0" quotePrefix="0" xfId="0"/>
    <xf numFmtId="164" fontId="4" fillId="0" borderId="1" pivotButton="0" quotePrefix="0" xfId="0"/>
    <xf numFmtId="165" fontId="4" fillId="0" borderId="1" pivotButton="0" quotePrefix="0" xfId="0"/>
  </cellXfs>
  <cellStyles count="1">
    <cellStyle name="Normal" xfId="0" builtinId="0" hidden="0"/>
  </cellStyles>
  <dxfs count="5">
    <dxf>
      <fill>
        <patternFill patternType="solid">
          <fgColor rgb="00FFC7CE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ont>
        <name val="Arial"/>
        <b val="1"/>
        <color rgb="00008000"/>
      </font>
    </dxf>
    <dxf>
      <font>
        <name val="Arial"/>
        <color rgb="00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Gasto vs valor de compras por mes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'Resumen'!B33</f>
            </strRef>
          </tx>
          <spPr>
            <a:ln>
              <a:prstDash val="solid"/>
            </a:ln>
          </spPr>
          <cat>
            <numRef>
              <f>'Resumen'!$A$34:$A$45</f>
            </numRef>
          </cat>
          <val>
            <numRef>
              <f>'Resumen'!$B$34:$B$45</f>
            </numRef>
          </val>
        </ser>
        <ser>
          <idx val="1"/>
          <order val="1"/>
          <tx>
            <strRef>
              <f>'Resumen'!C33</f>
            </strRef>
          </tx>
          <spPr>
            <a:ln>
              <a:prstDash val="solid"/>
            </a:ln>
          </spPr>
          <cat>
            <numRef>
              <f>'Resumen'!$A$34:$A$45</f>
            </numRef>
          </cat>
          <val>
            <numRef>
              <f>'Resumen'!$C$34:$C$45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Plantilla</author>
  </authors>
  <commentList>
    <comment ref="A1" authorId="0" shapeId="0">
      <text>
        <t>El día al que corresponden los datos (normalmente ayer).</t>
      </text>
    </comment>
    <comment ref="E1" authorId="0" shapeId="0">
      <text>
        <t>'Importe gastado' en el Administrador de anuncios (sin impuestos).</t>
      </text>
    </comment>
    <comment ref="H1" authorId="0" shapeId="0">
      <text>
        <t>Columna 'Compras' de Meta.</t>
      </text>
    </comment>
    <comment ref="I1" authorId="0" shapeId="0">
      <text>
        <t>Columna 'Valor de conversión de compras' de Meta. Es el retorno.</t>
      </text>
    </comment>
    <comment ref="N1" authorId="0" shapeId="0">
      <text>
        <t>Ingresos menos comisiones (Mercado Pago + Shopify) menos gasto con impuestos.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6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6" customWidth="1" min="3" max="3"/>
    <col width="15" customWidth="1" min="4" max="4"/>
    <col width="10" customWidth="1" min="5" max="5"/>
    <col width="10" customWidth="1" min="6" max="6"/>
    <col width="13" customWidth="1" min="7" max="7"/>
    <col width="10" customWidth="1" min="8" max="8"/>
  </cols>
  <sheetData>
    <row r="1">
      <c r="A1" s="1" t="inlineStr">
        <is>
          <t>Control de inversión en Meta</t>
        </is>
      </c>
    </row>
    <row r="3">
      <c r="A3" s="2" t="inlineStr">
        <is>
          <t>Gasto en Meta</t>
        </is>
      </c>
      <c r="B3" s="2" t="inlineStr">
        <is>
          <t>Gasto + impuestos</t>
        </is>
      </c>
      <c r="C3" s="2" t="inlineStr">
        <is>
          <t>Valor de compras</t>
        </is>
      </c>
      <c r="D3" s="2" t="inlineStr">
        <is>
          <t>Ganancia neta</t>
        </is>
      </c>
      <c r="E3" s="2" t="inlineStr">
        <is>
          <t>ROAS</t>
        </is>
      </c>
      <c r="F3" s="2" t="inlineStr">
        <is>
          <t>Compras</t>
        </is>
      </c>
      <c r="G3" s="2" t="inlineStr">
        <is>
          <t>CPA</t>
        </is>
      </c>
      <c r="H3" s="2" t="inlineStr">
        <is>
          <t>CPA de equilibrio</t>
        </is>
      </c>
    </row>
    <row r="4">
      <c r="A4" s="3">
        <f>SUM(Registro!$E$2:$E$1501)</f>
        <v/>
      </c>
      <c r="B4" s="3">
        <f>A4*(1+IMP_META)</f>
        <v/>
      </c>
      <c r="C4" s="3">
        <f>SUM(Registro!$I$2:$I$1501)</f>
        <v/>
      </c>
      <c r="D4" s="3">
        <f>C4*(1-COM-COM_SHOP)-B4</f>
        <v/>
      </c>
      <c r="E4" s="4">
        <f>IF(A4&gt;0,C4/A4,"")</f>
        <v/>
      </c>
      <c r="F4" s="5">
        <f>SUM(Registro!$H$2:$H$1501)</f>
        <v/>
      </c>
      <c r="G4" s="3">
        <f>IF(F4&gt;0,A4/F4,"")</f>
        <v/>
      </c>
      <c r="H4" s="3">
        <f>CPA_BE</f>
        <v/>
      </c>
    </row>
    <row r="5">
      <c r="A5" s="6" t="inlineStr">
        <is>
          <t>Ganancia neta = valor de compras − comisiones (Mercado Pago + Shopify) − gasto con impuestos.</t>
        </is>
      </c>
    </row>
    <row r="7">
      <c r="A7" s="7" t="inlineStr">
        <is>
          <t>Por fase</t>
        </is>
      </c>
    </row>
    <row r="8" ht="20" customHeight="1">
      <c r="A8" s="8" t="inlineStr">
        <is>
          <t>Fase</t>
        </is>
      </c>
      <c r="B8" s="8" t="inlineStr">
        <is>
          <t>Gasto</t>
        </is>
      </c>
      <c r="C8" s="8" t="inlineStr">
        <is>
          <t>Valor de compras</t>
        </is>
      </c>
      <c r="D8" s="8" t="inlineStr">
        <is>
          <t>Ganancia neta</t>
        </is>
      </c>
      <c r="E8" s="8" t="inlineStr">
        <is>
          <t>ROAS</t>
        </is>
      </c>
      <c r="F8" s="8" t="inlineStr">
        <is>
          <t>Compras</t>
        </is>
      </c>
      <c r="G8" s="8" t="inlineStr">
        <is>
          <t>CPA</t>
        </is>
      </c>
      <c r="H8" s="8" t="inlineStr">
        <is>
          <t>CTR</t>
        </is>
      </c>
    </row>
    <row r="9">
      <c r="A9" s="9" t="inlineStr">
        <is>
          <t>Test ABO</t>
        </is>
      </c>
      <c r="B9" s="10">
        <f>SUMIFS(Registro!$E$2:$E$1501,Registro!$B$2:$B$1501,A9)</f>
        <v/>
      </c>
      <c r="C9" s="10">
        <f>SUMIFS(Registro!$I$2:$I$1501,Registro!$B$2:$B$1501,A9)</f>
        <v/>
      </c>
      <c r="D9" s="10">
        <f>C9*(1-COM-COM_SHOP)-B9*(1+IMP_META)</f>
        <v/>
      </c>
      <c r="E9" s="11">
        <f>IF(B9&gt;0,C9/B9,"")</f>
        <v/>
      </c>
      <c r="F9" s="12">
        <f>SUMIFS(Registro!$H$2:$H$1501,Registro!$B$2:$B$1501,A9)</f>
        <v/>
      </c>
      <c r="G9" s="10">
        <f>IF(F9&gt;0,B9/F9,"")</f>
        <v/>
      </c>
      <c r="H9" s="13">
        <f>IF(SUMIFS(Registro!$F$2:$F$1501,Registro!$B$2:$B$1501,A9)&gt;0,SUMIFS(Registro!$G$2:$G$1501,Registro!$B$2:$B$1501,A9)/SUMIFS(Registro!$F$2:$F$1501,Registro!$B$2:$B$1501,A9),"")</f>
        <v/>
      </c>
    </row>
    <row r="10">
      <c r="A10" s="9" t="inlineStr">
        <is>
          <t>Escala CBO</t>
        </is>
      </c>
      <c r="B10" s="10">
        <f>SUMIFS(Registro!$E$2:$E$1501,Registro!$B$2:$B$1501,A10)</f>
        <v/>
      </c>
      <c r="C10" s="10">
        <f>SUMIFS(Registro!$I$2:$I$1501,Registro!$B$2:$B$1501,A10)</f>
        <v/>
      </c>
      <c r="D10" s="10">
        <f>C10*(1-COM-COM_SHOP)-B10*(1+IMP_META)</f>
        <v/>
      </c>
      <c r="E10" s="11">
        <f>IF(B10&gt;0,C10/B10,"")</f>
        <v/>
      </c>
      <c r="F10" s="12">
        <f>SUMIFS(Registro!$H$2:$H$1501,Registro!$B$2:$B$1501,A10)</f>
        <v/>
      </c>
      <c r="G10" s="10">
        <f>IF(F10&gt;0,B10/F10,"")</f>
        <v/>
      </c>
      <c r="H10" s="13">
        <f>IF(SUMIFS(Registro!$F$2:$F$1501,Registro!$B$2:$B$1501,A10)&gt;0,SUMIFS(Registro!$G$2:$G$1501,Registro!$B$2:$B$1501,A10)/SUMIFS(Registro!$F$2:$F$1501,Registro!$B$2:$B$1501,A10),"")</f>
        <v/>
      </c>
    </row>
    <row r="13">
      <c r="A13" s="7" t="inlineStr">
        <is>
          <t>Por ángulo de venta</t>
        </is>
      </c>
    </row>
    <row r="14" ht="20" customHeight="1">
      <c r="A14" s="8" t="inlineStr">
        <is>
          <t>Ángulo</t>
        </is>
      </c>
      <c r="B14" s="8" t="inlineStr">
        <is>
          <t>Gasto</t>
        </is>
      </c>
      <c r="C14" s="8" t="inlineStr">
        <is>
          <t>Valor de compras</t>
        </is>
      </c>
      <c r="D14" s="8" t="inlineStr">
        <is>
          <t>Ganancia neta</t>
        </is>
      </c>
      <c r="E14" s="8" t="inlineStr">
        <is>
          <t>ROAS</t>
        </is>
      </c>
      <c r="F14" s="8" t="inlineStr">
        <is>
          <t>Compras</t>
        </is>
      </c>
      <c r="G14" s="8" t="inlineStr">
        <is>
          <t>CPA</t>
        </is>
      </c>
      <c r="H14" s="8" t="inlineStr">
        <is>
          <t>CTR</t>
        </is>
      </c>
    </row>
    <row r="15">
      <c r="A15" s="14">
        <f>IF('Configuración'!A26="","",'Configuración'!A26)</f>
        <v/>
      </c>
      <c r="B15" s="10">
        <f>SUMIFS(Registro!$E$2:$E$1501,Registro!$D$2:$D$1501,A15)</f>
        <v/>
      </c>
      <c r="C15" s="10">
        <f>SUMIFS(Registro!$I$2:$I$1501,Registro!$D$2:$D$1501,A15)</f>
        <v/>
      </c>
      <c r="D15" s="10">
        <f>C15*(1-COM-COM_SHOP)-B15*(1+IMP_META)</f>
        <v/>
      </c>
      <c r="E15" s="11">
        <f>IF(B15&gt;0,C15/B15,"")</f>
        <v/>
      </c>
      <c r="F15" s="12">
        <f>SUMIFS(Registro!$H$2:$H$1501,Registro!$D$2:$D$1501,A15)</f>
        <v/>
      </c>
      <c r="G15" s="10">
        <f>IF(F15&gt;0,B15/F15,"")</f>
        <v/>
      </c>
      <c r="H15" s="13">
        <f>IF(SUMIFS(Registro!$F$2:$F$1501,Registro!$D$2:$D$1501,A15)&gt;0,SUMIFS(Registro!$G$2:$G$1501,Registro!$D$2:$D$1501,A15)/SUMIFS(Registro!$F$2:$F$1501,Registro!$D$2:$D$1501,A15),"")</f>
        <v/>
      </c>
    </row>
    <row r="16">
      <c r="A16" s="14">
        <f>IF('Configuración'!A27="","",'Configuración'!A27)</f>
        <v/>
      </c>
      <c r="B16" s="10">
        <f>SUMIFS(Registro!$E$2:$E$1501,Registro!$D$2:$D$1501,A16)</f>
        <v/>
      </c>
      <c r="C16" s="10">
        <f>SUMIFS(Registro!$I$2:$I$1501,Registro!$D$2:$D$1501,A16)</f>
        <v/>
      </c>
      <c r="D16" s="10">
        <f>C16*(1-COM-COM_SHOP)-B16*(1+IMP_META)</f>
        <v/>
      </c>
      <c r="E16" s="11">
        <f>IF(B16&gt;0,C16/B16,"")</f>
        <v/>
      </c>
      <c r="F16" s="12">
        <f>SUMIFS(Registro!$H$2:$H$1501,Registro!$D$2:$D$1501,A16)</f>
        <v/>
      </c>
      <c r="G16" s="10">
        <f>IF(F16&gt;0,B16/F16,"")</f>
        <v/>
      </c>
      <c r="H16" s="13">
        <f>IF(SUMIFS(Registro!$F$2:$F$1501,Registro!$D$2:$D$1501,A16)&gt;0,SUMIFS(Registro!$G$2:$G$1501,Registro!$D$2:$D$1501,A16)/SUMIFS(Registro!$F$2:$F$1501,Registro!$D$2:$D$1501,A16),"")</f>
        <v/>
      </c>
    </row>
    <row r="17">
      <c r="A17" s="14">
        <f>IF('Configuración'!A28="","",'Configuración'!A28)</f>
        <v/>
      </c>
      <c r="B17" s="10">
        <f>SUMIFS(Registro!$E$2:$E$1501,Registro!$D$2:$D$1501,A17)</f>
        <v/>
      </c>
      <c r="C17" s="10">
        <f>SUMIFS(Registro!$I$2:$I$1501,Registro!$D$2:$D$1501,A17)</f>
        <v/>
      </c>
      <c r="D17" s="10">
        <f>C17*(1-COM-COM_SHOP)-B17*(1+IMP_META)</f>
        <v/>
      </c>
      <c r="E17" s="11">
        <f>IF(B17&gt;0,C17/B17,"")</f>
        <v/>
      </c>
      <c r="F17" s="12">
        <f>SUMIFS(Registro!$H$2:$H$1501,Registro!$D$2:$D$1501,A17)</f>
        <v/>
      </c>
      <c r="G17" s="10">
        <f>IF(F17&gt;0,B17/F17,"")</f>
        <v/>
      </c>
      <c r="H17" s="13">
        <f>IF(SUMIFS(Registro!$F$2:$F$1501,Registro!$D$2:$D$1501,A17)&gt;0,SUMIFS(Registro!$G$2:$G$1501,Registro!$D$2:$D$1501,A17)/SUMIFS(Registro!$F$2:$F$1501,Registro!$D$2:$D$1501,A17),"")</f>
        <v/>
      </c>
    </row>
    <row r="18">
      <c r="A18" s="14">
        <f>IF('Configuración'!A29="","",'Configuración'!A29)</f>
        <v/>
      </c>
      <c r="B18" s="10">
        <f>SUMIFS(Registro!$E$2:$E$1501,Registro!$D$2:$D$1501,A18)</f>
        <v/>
      </c>
      <c r="C18" s="10">
        <f>SUMIFS(Registro!$I$2:$I$1501,Registro!$D$2:$D$1501,A18)</f>
        <v/>
      </c>
      <c r="D18" s="10">
        <f>C18*(1-COM-COM_SHOP)-B18*(1+IMP_META)</f>
        <v/>
      </c>
      <c r="E18" s="11">
        <f>IF(B18&gt;0,C18/B18,"")</f>
        <v/>
      </c>
      <c r="F18" s="12">
        <f>SUMIFS(Registro!$H$2:$H$1501,Registro!$D$2:$D$1501,A18)</f>
        <v/>
      </c>
      <c r="G18" s="10">
        <f>IF(F18&gt;0,B18/F18,"")</f>
        <v/>
      </c>
      <c r="H18" s="13">
        <f>IF(SUMIFS(Registro!$F$2:$F$1501,Registro!$D$2:$D$1501,A18)&gt;0,SUMIFS(Registro!$G$2:$G$1501,Registro!$D$2:$D$1501,A18)/SUMIFS(Registro!$F$2:$F$1501,Registro!$D$2:$D$1501,A18),"")</f>
        <v/>
      </c>
    </row>
    <row r="19">
      <c r="A19" s="14">
        <f>IF('Configuración'!A30="","",'Configuración'!A30)</f>
        <v/>
      </c>
      <c r="B19" s="10">
        <f>SUMIFS(Registro!$E$2:$E$1501,Registro!$D$2:$D$1501,A19)</f>
        <v/>
      </c>
      <c r="C19" s="10">
        <f>SUMIFS(Registro!$I$2:$I$1501,Registro!$D$2:$D$1501,A19)</f>
        <v/>
      </c>
      <c r="D19" s="10">
        <f>C19*(1-COM-COM_SHOP)-B19*(1+IMP_META)</f>
        <v/>
      </c>
      <c r="E19" s="11">
        <f>IF(B19&gt;0,C19/B19,"")</f>
        <v/>
      </c>
      <c r="F19" s="12">
        <f>SUMIFS(Registro!$H$2:$H$1501,Registro!$D$2:$D$1501,A19)</f>
        <v/>
      </c>
      <c r="G19" s="10">
        <f>IF(F19&gt;0,B19/F19,"")</f>
        <v/>
      </c>
      <c r="H19" s="13">
        <f>IF(SUMIFS(Registro!$F$2:$F$1501,Registro!$D$2:$D$1501,A19)&gt;0,SUMIFS(Registro!$G$2:$G$1501,Registro!$D$2:$D$1501,A19)/SUMIFS(Registro!$F$2:$F$1501,Registro!$D$2:$D$1501,A19),"")</f>
        <v/>
      </c>
    </row>
    <row r="20">
      <c r="A20" s="14">
        <f>IF('Configuración'!A31="","",'Configuración'!A31)</f>
        <v/>
      </c>
      <c r="B20" s="10">
        <f>SUMIFS(Registro!$E$2:$E$1501,Registro!$D$2:$D$1501,A20)</f>
        <v/>
      </c>
      <c r="C20" s="10">
        <f>SUMIFS(Registro!$I$2:$I$1501,Registro!$D$2:$D$1501,A20)</f>
        <v/>
      </c>
      <c r="D20" s="10">
        <f>C20*(1-COM-COM_SHOP)-B20*(1+IMP_META)</f>
        <v/>
      </c>
      <c r="E20" s="11">
        <f>IF(B20&gt;0,C20/B20,"")</f>
        <v/>
      </c>
      <c r="F20" s="12">
        <f>SUMIFS(Registro!$H$2:$H$1501,Registro!$D$2:$D$1501,A20)</f>
        <v/>
      </c>
      <c r="G20" s="10">
        <f>IF(F20&gt;0,B20/F20,"")</f>
        <v/>
      </c>
      <c r="H20" s="13">
        <f>IF(SUMIFS(Registro!$F$2:$F$1501,Registro!$D$2:$D$1501,A20)&gt;0,SUMIFS(Registro!$G$2:$G$1501,Registro!$D$2:$D$1501,A20)/SUMIFS(Registro!$F$2:$F$1501,Registro!$D$2:$D$1501,A20),"")</f>
        <v/>
      </c>
    </row>
    <row r="21">
      <c r="A21" s="14">
        <f>IF('Configuración'!A32="","",'Configuración'!A32)</f>
        <v/>
      </c>
      <c r="B21" s="10">
        <f>SUMIFS(Registro!$E$2:$E$1501,Registro!$D$2:$D$1501,A21)</f>
        <v/>
      </c>
      <c r="C21" s="10">
        <f>SUMIFS(Registro!$I$2:$I$1501,Registro!$D$2:$D$1501,A21)</f>
        <v/>
      </c>
      <c r="D21" s="10">
        <f>C21*(1-COM-COM_SHOP)-B21*(1+IMP_META)</f>
        <v/>
      </c>
      <c r="E21" s="11">
        <f>IF(B21&gt;0,C21/B21,"")</f>
        <v/>
      </c>
      <c r="F21" s="12">
        <f>SUMIFS(Registro!$H$2:$H$1501,Registro!$D$2:$D$1501,A21)</f>
        <v/>
      </c>
      <c r="G21" s="10">
        <f>IF(F21&gt;0,B21/F21,"")</f>
        <v/>
      </c>
      <c r="H21" s="13">
        <f>IF(SUMIFS(Registro!$F$2:$F$1501,Registro!$D$2:$D$1501,A21)&gt;0,SUMIFS(Registro!$G$2:$G$1501,Registro!$D$2:$D$1501,A21)/SUMIFS(Registro!$F$2:$F$1501,Registro!$D$2:$D$1501,A21),"")</f>
        <v/>
      </c>
    </row>
    <row r="22">
      <c r="A22" s="14">
        <f>IF('Configuración'!A33="","",'Configuración'!A33)</f>
        <v/>
      </c>
      <c r="B22" s="10">
        <f>SUMIFS(Registro!$E$2:$E$1501,Registro!$D$2:$D$1501,A22)</f>
        <v/>
      </c>
      <c r="C22" s="10">
        <f>SUMIFS(Registro!$I$2:$I$1501,Registro!$D$2:$D$1501,A22)</f>
        <v/>
      </c>
      <c r="D22" s="10">
        <f>C22*(1-COM-COM_SHOP)-B22*(1+IMP_META)</f>
        <v/>
      </c>
      <c r="E22" s="11">
        <f>IF(B22&gt;0,C22/B22,"")</f>
        <v/>
      </c>
      <c r="F22" s="12">
        <f>SUMIFS(Registro!$H$2:$H$1501,Registro!$D$2:$D$1501,A22)</f>
        <v/>
      </c>
      <c r="G22" s="10">
        <f>IF(F22&gt;0,B22/F22,"")</f>
        <v/>
      </c>
      <c r="H22" s="13">
        <f>IF(SUMIFS(Registro!$F$2:$F$1501,Registro!$D$2:$D$1501,A22)&gt;0,SUMIFS(Registro!$G$2:$G$1501,Registro!$D$2:$D$1501,A22)/SUMIFS(Registro!$F$2:$F$1501,Registro!$D$2:$D$1501,A22),"")</f>
        <v/>
      </c>
    </row>
    <row r="23">
      <c r="A23" s="14">
        <f>IF('Configuración'!A34="","",'Configuración'!A34)</f>
        <v/>
      </c>
      <c r="B23" s="10">
        <f>SUMIFS(Registro!$E$2:$E$1501,Registro!$D$2:$D$1501,A23)</f>
        <v/>
      </c>
      <c r="C23" s="10">
        <f>SUMIFS(Registro!$I$2:$I$1501,Registro!$D$2:$D$1501,A23)</f>
        <v/>
      </c>
      <c r="D23" s="10">
        <f>C23*(1-COM-COM_SHOP)-B23*(1+IMP_META)</f>
        <v/>
      </c>
      <c r="E23" s="11">
        <f>IF(B23&gt;0,C23/B23,"")</f>
        <v/>
      </c>
      <c r="F23" s="12">
        <f>SUMIFS(Registro!$H$2:$H$1501,Registro!$D$2:$D$1501,A23)</f>
        <v/>
      </c>
      <c r="G23" s="10">
        <f>IF(F23&gt;0,B23/F23,"")</f>
        <v/>
      </c>
      <c r="H23" s="13">
        <f>IF(SUMIFS(Registro!$F$2:$F$1501,Registro!$D$2:$D$1501,A23)&gt;0,SUMIFS(Registro!$G$2:$G$1501,Registro!$D$2:$D$1501,A23)/SUMIFS(Registro!$F$2:$F$1501,Registro!$D$2:$D$1501,A23),"")</f>
        <v/>
      </c>
    </row>
    <row r="24">
      <c r="A24" s="14">
        <f>IF('Configuración'!A35="","",'Configuración'!A35)</f>
        <v/>
      </c>
      <c r="B24" s="10">
        <f>SUMIFS(Registro!$E$2:$E$1501,Registro!$D$2:$D$1501,A24)</f>
        <v/>
      </c>
      <c r="C24" s="10">
        <f>SUMIFS(Registro!$I$2:$I$1501,Registro!$D$2:$D$1501,A24)</f>
        <v/>
      </c>
      <c r="D24" s="10">
        <f>C24*(1-COM-COM_SHOP)-B24*(1+IMP_META)</f>
        <v/>
      </c>
      <c r="E24" s="11">
        <f>IF(B24&gt;0,C24/B24,"")</f>
        <v/>
      </c>
      <c r="F24" s="12">
        <f>SUMIFS(Registro!$H$2:$H$1501,Registro!$D$2:$D$1501,A24)</f>
        <v/>
      </c>
      <c r="G24" s="10">
        <f>IF(F24&gt;0,B24/F24,"")</f>
        <v/>
      </c>
      <c r="H24" s="13">
        <f>IF(SUMIFS(Registro!$F$2:$F$1501,Registro!$D$2:$D$1501,A24)&gt;0,SUMIFS(Registro!$G$2:$G$1501,Registro!$D$2:$D$1501,A24)/SUMIFS(Registro!$F$2:$F$1501,Registro!$D$2:$D$1501,A24),"")</f>
        <v/>
      </c>
    </row>
    <row r="25">
      <c r="A25" s="14">
        <f>IF('Configuración'!A36="","",'Configuración'!A36)</f>
        <v/>
      </c>
      <c r="B25" s="10">
        <f>SUMIFS(Registro!$E$2:$E$1501,Registro!$D$2:$D$1501,A25)</f>
        <v/>
      </c>
      <c r="C25" s="10">
        <f>SUMIFS(Registro!$I$2:$I$1501,Registro!$D$2:$D$1501,A25)</f>
        <v/>
      </c>
      <c r="D25" s="10">
        <f>C25*(1-COM-COM_SHOP)-B25*(1+IMP_META)</f>
        <v/>
      </c>
      <c r="E25" s="11">
        <f>IF(B25&gt;0,C25/B25,"")</f>
        <v/>
      </c>
      <c r="F25" s="12">
        <f>SUMIFS(Registro!$H$2:$H$1501,Registro!$D$2:$D$1501,A25)</f>
        <v/>
      </c>
      <c r="G25" s="10">
        <f>IF(F25&gt;0,B25/F25,"")</f>
        <v/>
      </c>
      <c r="H25" s="13">
        <f>IF(SUMIFS(Registro!$F$2:$F$1501,Registro!$D$2:$D$1501,A25)&gt;0,SUMIFS(Registro!$G$2:$G$1501,Registro!$D$2:$D$1501,A25)/SUMIFS(Registro!$F$2:$F$1501,Registro!$D$2:$D$1501,A25),"")</f>
        <v/>
      </c>
    </row>
    <row r="26">
      <c r="A26" s="14">
        <f>IF('Configuración'!A37="","",'Configuración'!A37)</f>
        <v/>
      </c>
      <c r="B26" s="10">
        <f>SUMIFS(Registro!$E$2:$E$1501,Registro!$D$2:$D$1501,A26)</f>
        <v/>
      </c>
      <c r="C26" s="10">
        <f>SUMIFS(Registro!$I$2:$I$1501,Registro!$D$2:$D$1501,A26)</f>
        <v/>
      </c>
      <c r="D26" s="10">
        <f>C26*(1-COM-COM_SHOP)-B26*(1+IMP_META)</f>
        <v/>
      </c>
      <c r="E26" s="11">
        <f>IF(B26&gt;0,C26/B26,"")</f>
        <v/>
      </c>
      <c r="F26" s="12">
        <f>SUMIFS(Registro!$H$2:$H$1501,Registro!$D$2:$D$1501,A26)</f>
        <v/>
      </c>
      <c r="G26" s="10">
        <f>IF(F26&gt;0,B26/F26,"")</f>
        <v/>
      </c>
      <c r="H26" s="13">
        <f>IF(SUMIFS(Registro!$F$2:$F$1501,Registro!$D$2:$D$1501,A26)&gt;0,SUMIFS(Registro!$G$2:$G$1501,Registro!$D$2:$D$1501,A26)/SUMIFS(Registro!$F$2:$F$1501,Registro!$D$2:$D$1501,A26),"")</f>
        <v/>
      </c>
    </row>
    <row r="27">
      <c r="A27" s="14">
        <f>IF('Configuración'!A38="","",'Configuración'!A38)</f>
        <v/>
      </c>
      <c r="B27" s="10">
        <f>SUMIFS(Registro!$E$2:$E$1501,Registro!$D$2:$D$1501,A27)</f>
        <v/>
      </c>
      <c r="C27" s="10">
        <f>SUMIFS(Registro!$I$2:$I$1501,Registro!$D$2:$D$1501,A27)</f>
        <v/>
      </c>
      <c r="D27" s="10">
        <f>C27*(1-COM-COM_SHOP)-B27*(1+IMP_META)</f>
        <v/>
      </c>
      <c r="E27" s="11">
        <f>IF(B27&gt;0,C27/B27,"")</f>
        <v/>
      </c>
      <c r="F27" s="12">
        <f>SUMIFS(Registro!$H$2:$H$1501,Registro!$D$2:$D$1501,A27)</f>
        <v/>
      </c>
      <c r="G27" s="10">
        <f>IF(F27&gt;0,B27/F27,"")</f>
        <v/>
      </c>
      <c r="H27" s="13">
        <f>IF(SUMIFS(Registro!$F$2:$F$1501,Registro!$D$2:$D$1501,A27)&gt;0,SUMIFS(Registro!$G$2:$G$1501,Registro!$D$2:$D$1501,A27)/SUMIFS(Registro!$F$2:$F$1501,Registro!$D$2:$D$1501,A27),"")</f>
        <v/>
      </c>
    </row>
    <row r="28">
      <c r="A28" s="14">
        <f>IF('Configuración'!A39="","",'Configuración'!A39)</f>
        <v/>
      </c>
      <c r="B28" s="10">
        <f>SUMIFS(Registro!$E$2:$E$1501,Registro!$D$2:$D$1501,A28)</f>
        <v/>
      </c>
      <c r="C28" s="10">
        <f>SUMIFS(Registro!$I$2:$I$1501,Registro!$D$2:$D$1501,A28)</f>
        <v/>
      </c>
      <c r="D28" s="10">
        <f>C28*(1-COM-COM_SHOP)-B28*(1+IMP_META)</f>
        <v/>
      </c>
      <c r="E28" s="11">
        <f>IF(B28&gt;0,C28/B28,"")</f>
        <v/>
      </c>
      <c r="F28" s="12">
        <f>SUMIFS(Registro!$H$2:$H$1501,Registro!$D$2:$D$1501,A28)</f>
        <v/>
      </c>
      <c r="G28" s="10">
        <f>IF(F28&gt;0,B28/F28,"")</f>
        <v/>
      </c>
      <c r="H28" s="13">
        <f>IF(SUMIFS(Registro!$F$2:$F$1501,Registro!$D$2:$D$1501,A28)&gt;0,SUMIFS(Registro!$G$2:$G$1501,Registro!$D$2:$D$1501,A28)/SUMIFS(Registro!$F$2:$F$1501,Registro!$D$2:$D$1501,A28),"")</f>
        <v/>
      </c>
    </row>
    <row r="29">
      <c r="A29" s="14">
        <f>IF('Configuración'!A40="","",'Configuración'!A40)</f>
        <v/>
      </c>
      <c r="B29" s="10">
        <f>SUMIFS(Registro!$E$2:$E$1501,Registro!$D$2:$D$1501,A29)</f>
        <v/>
      </c>
      <c r="C29" s="10">
        <f>SUMIFS(Registro!$I$2:$I$1501,Registro!$D$2:$D$1501,A29)</f>
        <v/>
      </c>
      <c r="D29" s="10">
        <f>C29*(1-COM-COM_SHOP)-B29*(1+IMP_META)</f>
        <v/>
      </c>
      <c r="E29" s="11">
        <f>IF(B29&gt;0,C29/B29,"")</f>
        <v/>
      </c>
      <c r="F29" s="12">
        <f>SUMIFS(Registro!$H$2:$H$1501,Registro!$D$2:$D$1501,A29)</f>
        <v/>
      </c>
      <c r="G29" s="10">
        <f>IF(F29&gt;0,B29/F29,"")</f>
        <v/>
      </c>
      <c r="H29" s="13">
        <f>IF(SUMIFS(Registro!$F$2:$F$1501,Registro!$D$2:$D$1501,A29)&gt;0,SUMIFS(Registro!$G$2:$G$1501,Registro!$D$2:$D$1501,A29)/SUMIFS(Registro!$F$2:$F$1501,Registro!$D$2:$D$1501,A29),"")</f>
        <v/>
      </c>
    </row>
    <row r="32">
      <c r="A32" s="7" t="inlineStr">
        <is>
          <t>Por mes</t>
        </is>
      </c>
      <c r="D32" s="15" t="inlineStr">
        <is>
          <t>Primer mes:</t>
        </is>
      </c>
      <c r="E32" s="16" t="n">
        <v>46266</v>
      </c>
    </row>
    <row r="33" ht="20" customHeight="1">
      <c r="A33" s="8" t="inlineStr">
        <is>
          <t>Mes</t>
        </is>
      </c>
      <c r="B33" s="8" t="inlineStr">
        <is>
          <t>Gasto</t>
        </is>
      </c>
      <c r="C33" s="8" t="inlineStr">
        <is>
          <t>Valor de compras</t>
        </is>
      </c>
      <c r="D33" s="8" t="inlineStr">
        <is>
          <t>Ganancia neta</t>
        </is>
      </c>
      <c r="E33" s="8" t="inlineStr">
        <is>
          <t>ROAS</t>
        </is>
      </c>
      <c r="F33" s="8" t="inlineStr">
        <is>
          <t>Compras</t>
        </is>
      </c>
      <c r="G33" s="8" t="inlineStr">
        <is>
          <t>CPA</t>
        </is>
      </c>
      <c r="H33" s="8" t="inlineStr">
        <is>
          <t>CTR</t>
        </is>
      </c>
    </row>
    <row r="34">
      <c r="A34" s="17">
        <f>$E$32</f>
        <v/>
      </c>
      <c r="B34" s="10">
        <f>SUMIFS(Registro!$E$2:$E$1501,Registro!$A$2:$A$1501,"&gt;="&amp;A34,Registro!$A$2:$A$1501,"&lt;"&amp;EDATE(A34,1))</f>
        <v/>
      </c>
      <c r="C34" s="10">
        <f>SUMIFS(Registro!$I$2:$I$1501,Registro!$A$2:$A$1501,"&gt;="&amp;A34,Registro!$A$2:$A$1501,"&lt;"&amp;EDATE(A34,1))</f>
        <v/>
      </c>
      <c r="D34" s="10">
        <f>C34*(1-COM-COM_SHOP)-B34*(1+IMP_META)</f>
        <v/>
      </c>
      <c r="E34" s="11">
        <f>IF(B34&gt;0,C34/B34,"")</f>
        <v/>
      </c>
      <c r="F34" s="12">
        <f>SUMIFS(Registro!$H$2:$H$1501,Registro!$A$2:$A$1501,"&gt;="&amp;A34,Registro!$A$2:$A$1501,"&lt;"&amp;EDATE(A34,1))</f>
        <v/>
      </c>
      <c r="G34" s="10">
        <f>IF(F34&gt;0,B34/F34,"")</f>
        <v/>
      </c>
      <c r="H34" s="13">
        <f>IF(SUMIFS(Registro!$F$2:$F$1501,Registro!$A$2:$A$1501,"&gt;="&amp;A34,Registro!$A$2:$A$1501,"&lt;"&amp;EDATE(A34,1))&gt;0,SUMIFS(Registro!$G$2:$G$1501,Registro!$A$2:$A$1501,"&gt;="&amp;A34,Registro!$A$2:$A$1501,"&lt;"&amp;EDATE(A34,1))/SUMIFS(Registro!$F$2:$F$1501,Registro!$A$2:$A$1501,"&gt;="&amp;A34,Registro!$A$2:$A$1501,"&lt;"&amp;EDATE(A34,1)),"")</f>
        <v/>
      </c>
    </row>
    <row r="35">
      <c r="A35" s="17">
        <f>EDATE(A34,1)</f>
        <v/>
      </c>
      <c r="B35" s="10">
        <f>SUMIFS(Registro!$E$2:$E$1501,Registro!$A$2:$A$1501,"&gt;="&amp;A35,Registro!$A$2:$A$1501,"&lt;"&amp;EDATE(A35,1))</f>
        <v/>
      </c>
      <c r="C35" s="10">
        <f>SUMIFS(Registro!$I$2:$I$1501,Registro!$A$2:$A$1501,"&gt;="&amp;A35,Registro!$A$2:$A$1501,"&lt;"&amp;EDATE(A35,1))</f>
        <v/>
      </c>
      <c r="D35" s="10">
        <f>C35*(1-COM-COM_SHOP)-B35*(1+IMP_META)</f>
        <v/>
      </c>
      <c r="E35" s="11">
        <f>IF(B35&gt;0,C35/B35,"")</f>
        <v/>
      </c>
      <c r="F35" s="12">
        <f>SUMIFS(Registro!$H$2:$H$1501,Registro!$A$2:$A$1501,"&gt;="&amp;A35,Registro!$A$2:$A$1501,"&lt;"&amp;EDATE(A35,1))</f>
        <v/>
      </c>
      <c r="G35" s="10">
        <f>IF(F35&gt;0,B35/F35,"")</f>
        <v/>
      </c>
      <c r="H35" s="13">
        <f>IF(SUMIFS(Registro!$F$2:$F$1501,Registro!$A$2:$A$1501,"&gt;="&amp;A35,Registro!$A$2:$A$1501,"&lt;"&amp;EDATE(A35,1))&gt;0,SUMIFS(Registro!$G$2:$G$1501,Registro!$A$2:$A$1501,"&gt;="&amp;A35,Registro!$A$2:$A$1501,"&lt;"&amp;EDATE(A35,1))/SUMIFS(Registro!$F$2:$F$1501,Registro!$A$2:$A$1501,"&gt;="&amp;A35,Registro!$A$2:$A$1501,"&lt;"&amp;EDATE(A35,1)),"")</f>
        <v/>
      </c>
    </row>
    <row r="36">
      <c r="A36" s="17">
        <f>EDATE(A35,1)</f>
        <v/>
      </c>
      <c r="B36" s="10">
        <f>SUMIFS(Registro!$E$2:$E$1501,Registro!$A$2:$A$1501,"&gt;="&amp;A36,Registro!$A$2:$A$1501,"&lt;"&amp;EDATE(A36,1))</f>
        <v/>
      </c>
      <c r="C36" s="10">
        <f>SUMIFS(Registro!$I$2:$I$1501,Registro!$A$2:$A$1501,"&gt;="&amp;A36,Registro!$A$2:$A$1501,"&lt;"&amp;EDATE(A36,1))</f>
        <v/>
      </c>
      <c r="D36" s="10">
        <f>C36*(1-COM-COM_SHOP)-B36*(1+IMP_META)</f>
        <v/>
      </c>
      <c r="E36" s="11">
        <f>IF(B36&gt;0,C36/B36,"")</f>
        <v/>
      </c>
      <c r="F36" s="12">
        <f>SUMIFS(Registro!$H$2:$H$1501,Registro!$A$2:$A$1501,"&gt;="&amp;A36,Registro!$A$2:$A$1501,"&lt;"&amp;EDATE(A36,1))</f>
        <v/>
      </c>
      <c r="G36" s="10">
        <f>IF(F36&gt;0,B36/F36,"")</f>
        <v/>
      </c>
      <c r="H36" s="13">
        <f>IF(SUMIFS(Registro!$F$2:$F$1501,Registro!$A$2:$A$1501,"&gt;="&amp;A36,Registro!$A$2:$A$1501,"&lt;"&amp;EDATE(A36,1))&gt;0,SUMIFS(Registro!$G$2:$G$1501,Registro!$A$2:$A$1501,"&gt;="&amp;A36,Registro!$A$2:$A$1501,"&lt;"&amp;EDATE(A36,1))/SUMIFS(Registro!$F$2:$F$1501,Registro!$A$2:$A$1501,"&gt;="&amp;A36,Registro!$A$2:$A$1501,"&lt;"&amp;EDATE(A36,1)),"")</f>
        <v/>
      </c>
    </row>
    <row r="37">
      <c r="A37" s="17">
        <f>EDATE(A36,1)</f>
        <v/>
      </c>
      <c r="B37" s="10">
        <f>SUMIFS(Registro!$E$2:$E$1501,Registro!$A$2:$A$1501,"&gt;="&amp;A37,Registro!$A$2:$A$1501,"&lt;"&amp;EDATE(A37,1))</f>
        <v/>
      </c>
      <c r="C37" s="10">
        <f>SUMIFS(Registro!$I$2:$I$1501,Registro!$A$2:$A$1501,"&gt;="&amp;A37,Registro!$A$2:$A$1501,"&lt;"&amp;EDATE(A37,1))</f>
        <v/>
      </c>
      <c r="D37" s="10">
        <f>C37*(1-COM-COM_SHOP)-B37*(1+IMP_META)</f>
        <v/>
      </c>
      <c r="E37" s="11">
        <f>IF(B37&gt;0,C37/B37,"")</f>
        <v/>
      </c>
      <c r="F37" s="12">
        <f>SUMIFS(Registro!$H$2:$H$1501,Registro!$A$2:$A$1501,"&gt;="&amp;A37,Registro!$A$2:$A$1501,"&lt;"&amp;EDATE(A37,1))</f>
        <v/>
      </c>
      <c r="G37" s="10">
        <f>IF(F37&gt;0,B37/F37,"")</f>
        <v/>
      </c>
      <c r="H37" s="13">
        <f>IF(SUMIFS(Registro!$F$2:$F$1501,Registro!$A$2:$A$1501,"&gt;="&amp;A37,Registro!$A$2:$A$1501,"&lt;"&amp;EDATE(A37,1))&gt;0,SUMIFS(Registro!$G$2:$G$1501,Registro!$A$2:$A$1501,"&gt;="&amp;A37,Registro!$A$2:$A$1501,"&lt;"&amp;EDATE(A37,1))/SUMIFS(Registro!$F$2:$F$1501,Registro!$A$2:$A$1501,"&gt;="&amp;A37,Registro!$A$2:$A$1501,"&lt;"&amp;EDATE(A37,1)),"")</f>
        <v/>
      </c>
    </row>
    <row r="38">
      <c r="A38" s="17">
        <f>EDATE(A37,1)</f>
        <v/>
      </c>
      <c r="B38" s="10">
        <f>SUMIFS(Registro!$E$2:$E$1501,Registro!$A$2:$A$1501,"&gt;="&amp;A38,Registro!$A$2:$A$1501,"&lt;"&amp;EDATE(A38,1))</f>
        <v/>
      </c>
      <c r="C38" s="10">
        <f>SUMIFS(Registro!$I$2:$I$1501,Registro!$A$2:$A$1501,"&gt;="&amp;A38,Registro!$A$2:$A$1501,"&lt;"&amp;EDATE(A38,1))</f>
        <v/>
      </c>
      <c r="D38" s="10">
        <f>C38*(1-COM-COM_SHOP)-B38*(1+IMP_META)</f>
        <v/>
      </c>
      <c r="E38" s="11">
        <f>IF(B38&gt;0,C38/B38,"")</f>
        <v/>
      </c>
      <c r="F38" s="12">
        <f>SUMIFS(Registro!$H$2:$H$1501,Registro!$A$2:$A$1501,"&gt;="&amp;A38,Registro!$A$2:$A$1501,"&lt;"&amp;EDATE(A38,1))</f>
        <v/>
      </c>
      <c r="G38" s="10">
        <f>IF(F38&gt;0,B38/F38,"")</f>
        <v/>
      </c>
      <c r="H38" s="13">
        <f>IF(SUMIFS(Registro!$F$2:$F$1501,Registro!$A$2:$A$1501,"&gt;="&amp;A38,Registro!$A$2:$A$1501,"&lt;"&amp;EDATE(A38,1))&gt;0,SUMIFS(Registro!$G$2:$G$1501,Registro!$A$2:$A$1501,"&gt;="&amp;A38,Registro!$A$2:$A$1501,"&lt;"&amp;EDATE(A38,1))/SUMIFS(Registro!$F$2:$F$1501,Registro!$A$2:$A$1501,"&gt;="&amp;A38,Registro!$A$2:$A$1501,"&lt;"&amp;EDATE(A38,1)),"")</f>
        <v/>
      </c>
    </row>
    <row r="39">
      <c r="A39" s="17">
        <f>EDATE(A38,1)</f>
        <v/>
      </c>
      <c r="B39" s="10">
        <f>SUMIFS(Registro!$E$2:$E$1501,Registro!$A$2:$A$1501,"&gt;="&amp;A39,Registro!$A$2:$A$1501,"&lt;"&amp;EDATE(A39,1))</f>
        <v/>
      </c>
      <c r="C39" s="10">
        <f>SUMIFS(Registro!$I$2:$I$1501,Registro!$A$2:$A$1501,"&gt;="&amp;A39,Registro!$A$2:$A$1501,"&lt;"&amp;EDATE(A39,1))</f>
        <v/>
      </c>
      <c r="D39" s="10">
        <f>C39*(1-COM-COM_SHOP)-B39*(1+IMP_META)</f>
        <v/>
      </c>
      <c r="E39" s="11">
        <f>IF(B39&gt;0,C39/B39,"")</f>
        <v/>
      </c>
      <c r="F39" s="12">
        <f>SUMIFS(Registro!$H$2:$H$1501,Registro!$A$2:$A$1501,"&gt;="&amp;A39,Registro!$A$2:$A$1501,"&lt;"&amp;EDATE(A39,1))</f>
        <v/>
      </c>
      <c r="G39" s="10">
        <f>IF(F39&gt;0,B39/F39,"")</f>
        <v/>
      </c>
      <c r="H39" s="13">
        <f>IF(SUMIFS(Registro!$F$2:$F$1501,Registro!$A$2:$A$1501,"&gt;="&amp;A39,Registro!$A$2:$A$1501,"&lt;"&amp;EDATE(A39,1))&gt;0,SUMIFS(Registro!$G$2:$G$1501,Registro!$A$2:$A$1501,"&gt;="&amp;A39,Registro!$A$2:$A$1501,"&lt;"&amp;EDATE(A39,1))/SUMIFS(Registro!$F$2:$F$1501,Registro!$A$2:$A$1501,"&gt;="&amp;A39,Registro!$A$2:$A$1501,"&lt;"&amp;EDATE(A39,1)),"")</f>
        <v/>
      </c>
    </row>
    <row r="40">
      <c r="A40" s="17">
        <f>EDATE(A39,1)</f>
        <v/>
      </c>
      <c r="B40" s="10">
        <f>SUMIFS(Registro!$E$2:$E$1501,Registro!$A$2:$A$1501,"&gt;="&amp;A40,Registro!$A$2:$A$1501,"&lt;"&amp;EDATE(A40,1))</f>
        <v/>
      </c>
      <c r="C40" s="10">
        <f>SUMIFS(Registro!$I$2:$I$1501,Registro!$A$2:$A$1501,"&gt;="&amp;A40,Registro!$A$2:$A$1501,"&lt;"&amp;EDATE(A40,1))</f>
        <v/>
      </c>
      <c r="D40" s="10">
        <f>C40*(1-COM-COM_SHOP)-B40*(1+IMP_META)</f>
        <v/>
      </c>
      <c r="E40" s="11">
        <f>IF(B40&gt;0,C40/B40,"")</f>
        <v/>
      </c>
      <c r="F40" s="12">
        <f>SUMIFS(Registro!$H$2:$H$1501,Registro!$A$2:$A$1501,"&gt;="&amp;A40,Registro!$A$2:$A$1501,"&lt;"&amp;EDATE(A40,1))</f>
        <v/>
      </c>
      <c r="G40" s="10">
        <f>IF(F40&gt;0,B40/F40,"")</f>
        <v/>
      </c>
      <c r="H40" s="13">
        <f>IF(SUMIFS(Registro!$F$2:$F$1501,Registro!$A$2:$A$1501,"&gt;="&amp;A40,Registro!$A$2:$A$1501,"&lt;"&amp;EDATE(A40,1))&gt;0,SUMIFS(Registro!$G$2:$G$1501,Registro!$A$2:$A$1501,"&gt;="&amp;A40,Registro!$A$2:$A$1501,"&lt;"&amp;EDATE(A40,1))/SUMIFS(Registro!$F$2:$F$1501,Registro!$A$2:$A$1501,"&gt;="&amp;A40,Registro!$A$2:$A$1501,"&lt;"&amp;EDATE(A40,1)),"")</f>
        <v/>
      </c>
    </row>
    <row r="41">
      <c r="A41" s="17">
        <f>EDATE(A40,1)</f>
        <v/>
      </c>
      <c r="B41" s="10">
        <f>SUMIFS(Registro!$E$2:$E$1501,Registro!$A$2:$A$1501,"&gt;="&amp;A41,Registro!$A$2:$A$1501,"&lt;"&amp;EDATE(A41,1))</f>
        <v/>
      </c>
      <c r="C41" s="10">
        <f>SUMIFS(Registro!$I$2:$I$1501,Registro!$A$2:$A$1501,"&gt;="&amp;A41,Registro!$A$2:$A$1501,"&lt;"&amp;EDATE(A41,1))</f>
        <v/>
      </c>
      <c r="D41" s="10">
        <f>C41*(1-COM-COM_SHOP)-B41*(1+IMP_META)</f>
        <v/>
      </c>
      <c r="E41" s="11">
        <f>IF(B41&gt;0,C41/B41,"")</f>
        <v/>
      </c>
      <c r="F41" s="12">
        <f>SUMIFS(Registro!$H$2:$H$1501,Registro!$A$2:$A$1501,"&gt;="&amp;A41,Registro!$A$2:$A$1501,"&lt;"&amp;EDATE(A41,1))</f>
        <v/>
      </c>
      <c r="G41" s="10">
        <f>IF(F41&gt;0,B41/F41,"")</f>
        <v/>
      </c>
      <c r="H41" s="13">
        <f>IF(SUMIFS(Registro!$F$2:$F$1501,Registro!$A$2:$A$1501,"&gt;="&amp;A41,Registro!$A$2:$A$1501,"&lt;"&amp;EDATE(A41,1))&gt;0,SUMIFS(Registro!$G$2:$G$1501,Registro!$A$2:$A$1501,"&gt;="&amp;A41,Registro!$A$2:$A$1501,"&lt;"&amp;EDATE(A41,1))/SUMIFS(Registro!$F$2:$F$1501,Registro!$A$2:$A$1501,"&gt;="&amp;A41,Registro!$A$2:$A$1501,"&lt;"&amp;EDATE(A41,1)),"")</f>
        <v/>
      </c>
    </row>
    <row r="42">
      <c r="A42" s="17">
        <f>EDATE(A41,1)</f>
        <v/>
      </c>
      <c r="B42" s="10">
        <f>SUMIFS(Registro!$E$2:$E$1501,Registro!$A$2:$A$1501,"&gt;="&amp;A42,Registro!$A$2:$A$1501,"&lt;"&amp;EDATE(A42,1))</f>
        <v/>
      </c>
      <c r="C42" s="10">
        <f>SUMIFS(Registro!$I$2:$I$1501,Registro!$A$2:$A$1501,"&gt;="&amp;A42,Registro!$A$2:$A$1501,"&lt;"&amp;EDATE(A42,1))</f>
        <v/>
      </c>
      <c r="D42" s="10">
        <f>C42*(1-COM-COM_SHOP)-B42*(1+IMP_META)</f>
        <v/>
      </c>
      <c r="E42" s="11">
        <f>IF(B42&gt;0,C42/B42,"")</f>
        <v/>
      </c>
      <c r="F42" s="12">
        <f>SUMIFS(Registro!$H$2:$H$1501,Registro!$A$2:$A$1501,"&gt;="&amp;A42,Registro!$A$2:$A$1501,"&lt;"&amp;EDATE(A42,1))</f>
        <v/>
      </c>
      <c r="G42" s="10">
        <f>IF(F42&gt;0,B42/F42,"")</f>
        <v/>
      </c>
      <c r="H42" s="13">
        <f>IF(SUMIFS(Registro!$F$2:$F$1501,Registro!$A$2:$A$1501,"&gt;="&amp;A42,Registro!$A$2:$A$1501,"&lt;"&amp;EDATE(A42,1))&gt;0,SUMIFS(Registro!$G$2:$G$1501,Registro!$A$2:$A$1501,"&gt;="&amp;A42,Registro!$A$2:$A$1501,"&lt;"&amp;EDATE(A42,1))/SUMIFS(Registro!$F$2:$F$1501,Registro!$A$2:$A$1501,"&gt;="&amp;A42,Registro!$A$2:$A$1501,"&lt;"&amp;EDATE(A42,1)),"")</f>
        <v/>
      </c>
    </row>
    <row r="43">
      <c r="A43" s="17">
        <f>EDATE(A42,1)</f>
        <v/>
      </c>
      <c r="B43" s="10">
        <f>SUMIFS(Registro!$E$2:$E$1501,Registro!$A$2:$A$1501,"&gt;="&amp;A43,Registro!$A$2:$A$1501,"&lt;"&amp;EDATE(A43,1))</f>
        <v/>
      </c>
      <c r="C43" s="10">
        <f>SUMIFS(Registro!$I$2:$I$1501,Registro!$A$2:$A$1501,"&gt;="&amp;A43,Registro!$A$2:$A$1501,"&lt;"&amp;EDATE(A43,1))</f>
        <v/>
      </c>
      <c r="D43" s="10">
        <f>C43*(1-COM-COM_SHOP)-B43*(1+IMP_META)</f>
        <v/>
      </c>
      <c r="E43" s="11">
        <f>IF(B43&gt;0,C43/B43,"")</f>
        <v/>
      </c>
      <c r="F43" s="12">
        <f>SUMIFS(Registro!$H$2:$H$1501,Registro!$A$2:$A$1501,"&gt;="&amp;A43,Registro!$A$2:$A$1501,"&lt;"&amp;EDATE(A43,1))</f>
        <v/>
      </c>
      <c r="G43" s="10">
        <f>IF(F43&gt;0,B43/F43,"")</f>
        <v/>
      </c>
      <c r="H43" s="13">
        <f>IF(SUMIFS(Registro!$F$2:$F$1501,Registro!$A$2:$A$1501,"&gt;="&amp;A43,Registro!$A$2:$A$1501,"&lt;"&amp;EDATE(A43,1))&gt;0,SUMIFS(Registro!$G$2:$G$1501,Registro!$A$2:$A$1501,"&gt;="&amp;A43,Registro!$A$2:$A$1501,"&lt;"&amp;EDATE(A43,1))/SUMIFS(Registro!$F$2:$F$1501,Registro!$A$2:$A$1501,"&gt;="&amp;A43,Registro!$A$2:$A$1501,"&lt;"&amp;EDATE(A43,1)),"")</f>
        <v/>
      </c>
    </row>
    <row r="44">
      <c r="A44" s="17">
        <f>EDATE(A43,1)</f>
        <v/>
      </c>
      <c r="B44" s="10">
        <f>SUMIFS(Registro!$E$2:$E$1501,Registro!$A$2:$A$1501,"&gt;="&amp;A44,Registro!$A$2:$A$1501,"&lt;"&amp;EDATE(A44,1))</f>
        <v/>
      </c>
      <c r="C44" s="10">
        <f>SUMIFS(Registro!$I$2:$I$1501,Registro!$A$2:$A$1501,"&gt;="&amp;A44,Registro!$A$2:$A$1501,"&lt;"&amp;EDATE(A44,1))</f>
        <v/>
      </c>
      <c r="D44" s="10">
        <f>C44*(1-COM-COM_SHOP)-B44*(1+IMP_META)</f>
        <v/>
      </c>
      <c r="E44" s="11">
        <f>IF(B44&gt;0,C44/B44,"")</f>
        <v/>
      </c>
      <c r="F44" s="12">
        <f>SUMIFS(Registro!$H$2:$H$1501,Registro!$A$2:$A$1501,"&gt;="&amp;A44,Registro!$A$2:$A$1501,"&lt;"&amp;EDATE(A44,1))</f>
        <v/>
      </c>
      <c r="G44" s="10">
        <f>IF(F44&gt;0,B44/F44,"")</f>
        <v/>
      </c>
      <c r="H44" s="13">
        <f>IF(SUMIFS(Registro!$F$2:$F$1501,Registro!$A$2:$A$1501,"&gt;="&amp;A44,Registro!$A$2:$A$1501,"&lt;"&amp;EDATE(A44,1))&gt;0,SUMIFS(Registro!$G$2:$G$1501,Registro!$A$2:$A$1501,"&gt;="&amp;A44,Registro!$A$2:$A$1501,"&lt;"&amp;EDATE(A44,1))/SUMIFS(Registro!$F$2:$F$1501,Registro!$A$2:$A$1501,"&gt;="&amp;A44,Registro!$A$2:$A$1501,"&lt;"&amp;EDATE(A44,1)),"")</f>
        <v/>
      </c>
    </row>
    <row r="45">
      <c r="A45" s="17">
        <f>EDATE(A44,1)</f>
        <v/>
      </c>
      <c r="B45" s="10">
        <f>SUMIFS(Registro!$E$2:$E$1501,Registro!$A$2:$A$1501,"&gt;="&amp;A45,Registro!$A$2:$A$1501,"&lt;"&amp;EDATE(A45,1))</f>
        <v/>
      </c>
      <c r="C45" s="10">
        <f>SUMIFS(Registro!$I$2:$I$1501,Registro!$A$2:$A$1501,"&gt;="&amp;A45,Registro!$A$2:$A$1501,"&lt;"&amp;EDATE(A45,1))</f>
        <v/>
      </c>
      <c r="D45" s="10">
        <f>C45*(1-COM-COM_SHOP)-B45*(1+IMP_META)</f>
        <v/>
      </c>
      <c r="E45" s="11">
        <f>IF(B45&gt;0,C45/B45,"")</f>
        <v/>
      </c>
      <c r="F45" s="12">
        <f>SUMIFS(Registro!$H$2:$H$1501,Registro!$A$2:$A$1501,"&gt;="&amp;A45,Registro!$A$2:$A$1501,"&lt;"&amp;EDATE(A45,1))</f>
        <v/>
      </c>
      <c r="G45" s="10">
        <f>IF(F45&gt;0,B45/F45,"")</f>
        <v/>
      </c>
      <c r="H45" s="13">
        <f>IF(SUMIFS(Registro!$F$2:$F$1501,Registro!$A$2:$A$1501,"&gt;="&amp;A45,Registro!$A$2:$A$1501,"&lt;"&amp;EDATE(A45,1))&gt;0,SUMIFS(Registro!$G$2:$G$1501,Registro!$A$2:$A$1501,"&gt;="&amp;A45,Registro!$A$2:$A$1501,"&lt;"&amp;EDATE(A45,1))/SUMIFS(Registro!$F$2:$F$1501,Registro!$A$2:$A$1501,"&gt;="&amp;A45,Registro!$A$2:$A$1501,"&lt;"&amp;EDATE(A45,1)),"")</f>
        <v/>
      </c>
    </row>
    <row r="48">
      <c r="A48" s="7" t="inlineStr">
        <is>
          <t>Últimas 8 semanas (lunes a domingo)</t>
        </is>
      </c>
    </row>
    <row r="49" ht="20" customHeight="1">
      <c r="A49" s="8" t="inlineStr">
        <is>
          <t>Semana del</t>
        </is>
      </c>
      <c r="B49" s="8" t="inlineStr">
        <is>
          <t>Gasto</t>
        </is>
      </c>
      <c r="C49" s="8" t="inlineStr">
        <is>
          <t>Valor de compras</t>
        </is>
      </c>
      <c r="D49" s="8" t="inlineStr">
        <is>
          <t>Ganancia neta</t>
        </is>
      </c>
      <c r="E49" s="8" t="inlineStr">
        <is>
          <t>ROAS</t>
        </is>
      </c>
      <c r="F49" s="8" t="inlineStr">
        <is>
          <t>Compras</t>
        </is>
      </c>
      <c r="G49" s="8" t="inlineStr">
        <is>
          <t>CPA</t>
        </is>
      </c>
      <c r="H49" s="8" t="inlineStr">
        <is>
          <t>CTR</t>
        </is>
      </c>
    </row>
    <row r="50">
      <c r="A50" s="18">
        <f>TODAY()-WEEKDAY(TODAY(),3)-49</f>
        <v/>
      </c>
      <c r="B50" s="10">
        <f>SUMIFS(Registro!$E$2:$E$1501,Registro!$A$2:$A$1501,"&gt;="&amp;A50,Registro!$A$2:$A$1501,"&lt;"&amp;(A50+7))</f>
        <v/>
      </c>
      <c r="C50" s="10">
        <f>SUMIFS(Registro!$I$2:$I$1501,Registro!$A$2:$A$1501,"&gt;="&amp;A50,Registro!$A$2:$A$1501,"&lt;"&amp;(A50+7))</f>
        <v/>
      </c>
      <c r="D50" s="10">
        <f>C50*(1-COM-COM_SHOP)-B50*(1+IMP_META)</f>
        <v/>
      </c>
      <c r="E50" s="11">
        <f>IF(B50&gt;0,C50/B50,"")</f>
        <v/>
      </c>
      <c r="F50" s="12">
        <f>SUMIFS(Registro!$H$2:$H$1501,Registro!$A$2:$A$1501,"&gt;="&amp;A50,Registro!$A$2:$A$1501,"&lt;"&amp;(A50+7))</f>
        <v/>
      </c>
      <c r="G50" s="10">
        <f>IF(F50&gt;0,B50/F50,"")</f>
        <v/>
      </c>
      <c r="H50" s="13">
        <f>IF(SUMIFS(Registro!$F$2:$F$1501,Registro!$A$2:$A$1501,"&gt;="&amp;A50,Registro!$A$2:$A$1501,"&lt;"&amp;(A50+7))&gt;0,SUMIFS(Registro!$G$2:$G$1501,Registro!$A$2:$A$1501,"&gt;="&amp;A50,Registro!$A$2:$A$1501,"&lt;"&amp;(A50+7))/SUMIFS(Registro!$F$2:$F$1501,Registro!$A$2:$A$1501,"&gt;="&amp;A50,Registro!$A$2:$A$1501,"&lt;"&amp;(A50+7)),"")</f>
        <v/>
      </c>
    </row>
    <row r="51">
      <c r="A51" s="18">
        <f>TODAY()-WEEKDAY(TODAY(),3)-42</f>
        <v/>
      </c>
      <c r="B51" s="10">
        <f>SUMIFS(Registro!$E$2:$E$1501,Registro!$A$2:$A$1501,"&gt;="&amp;A51,Registro!$A$2:$A$1501,"&lt;"&amp;(A51+7))</f>
        <v/>
      </c>
      <c r="C51" s="10">
        <f>SUMIFS(Registro!$I$2:$I$1501,Registro!$A$2:$A$1501,"&gt;="&amp;A51,Registro!$A$2:$A$1501,"&lt;"&amp;(A51+7))</f>
        <v/>
      </c>
      <c r="D51" s="10">
        <f>C51*(1-COM-COM_SHOP)-B51*(1+IMP_META)</f>
        <v/>
      </c>
      <c r="E51" s="11">
        <f>IF(B51&gt;0,C51/B51,"")</f>
        <v/>
      </c>
      <c r="F51" s="12">
        <f>SUMIFS(Registro!$H$2:$H$1501,Registro!$A$2:$A$1501,"&gt;="&amp;A51,Registro!$A$2:$A$1501,"&lt;"&amp;(A51+7))</f>
        <v/>
      </c>
      <c r="G51" s="10">
        <f>IF(F51&gt;0,B51/F51,"")</f>
        <v/>
      </c>
      <c r="H51" s="13">
        <f>IF(SUMIFS(Registro!$F$2:$F$1501,Registro!$A$2:$A$1501,"&gt;="&amp;A51,Registro!$A$2:$A$1501,"&lt;"&amp;(A51+7))&gt;0,SUMIFS(Registro!$G$2:$G$1501,Registro!$A$2:$A$1501,"&gt;="&amp;A51,Registro!$A$2:$A$1501,"&lt;"&amp;(A51+7))/SUMIFS(Registro!$F$2:$F$1501,Registro!$A$2:$A$1501,"&gt;="&amp;A51,Registro!$A$2:$A$1501,"&lt;"&amp;(A51+7)),"")</f>
        <v/>
      </c>
    </row>
    <row r="52">
      <c r="A52" s="18">
        <f>TODAY()-WEEKDAY(TODAY(),3)-35</f>
        <v/>
      </c>
      <c r="B52" s="10">
        <f>SUMIFS(Registro!$E$2:$E$1501,Registro!$A$2:$A$1501,"&gt;="&amp;A52,Registro!$A$2:$A$1501,"&lt;"&amp;(A52+7))</f>
        <v/>
      </c>
      <c r="C52" s="10">
        <f>SUMIFS(Registro!$I$2:$I$1501,Registro!$A$2:$A$1501,"&gt;="&amp;A52,Registro!$A$2:$A$1501,"&lt;"&amp;(A52+7))</f>
        <v/>
      </c>
      <c r="D52" s="10">
        <f>C52*(1-COM-COM_SHOP)-B52*(1+IMP_META)</f>
        <v/>
      </c>
      <c r="E52" s="11">
        <f>IF(B52&gt;0,C52/B52,"")</f>
        <v/>
      </c>
      <c r="F52" s="12">
        <f>SUMIFS(Registro!$H$2:$H$1501,Registro!$A$2:$A$1501,"&gt;="&amp;A52,Registro!$A$2:$A$1501,"&lt;"&amp;(A52+7))</f>
        <v/>
      </c>
      <c r="G52" s="10">
        <f>IF(F52&gt;0,B52/F52,"")</f>
        <v/>
      </c>
      <c r="H52" s="13">
        <f>IF(SUMIFS(Registro!$F$2:$F$1501,Registro!$A$2:$A$1501,"&gt;="&amp;A52,Registro!$A$2:$A$1501,"&lt;"&amp;(A52+7))&gt;0,SUMIFS(Registro!$G$2:$G$1501,Registro!$A$2:$A$1501,"&gt;="&amp;A52,Registro!$A$2:$A$1501,"&lt;"&amp;(A52+7))/SUMIFS(Registro!$F$2:$F$1501,Registro!$A$2:$A$1501,"&gt;="&amp;A52,Registro!$A$2:$A$1501,"&lt;"&amp;(A52+7)),"")</f>
        <v/>
      </c>
    </row>
    <row r="53">
      <c r="A53" s="18">
        <f>TODAY()-WEEKDAY(TODAY(),3)-28</f>
        <v/>
      </c>
      <c r="B53" s="10">
        <f>SUMIFS(Registro!$E$2:$E$1501,Registro!$A$2:$A$1501,"&gt;="&amp;A53,Registro!$A$2:$A$1501,"&lt;"&amp;(A53+7))</f>
        <v/>
      </c>
      <c r="C53" s="10">
        <f>SUMIFS(Registro!$I$2:$I$1501,Registro!$A$2:$A$1501,"&gt;="&amp;A53,Registro!$A$2:$A$1501,"&lt;"&amp;(A53+7))</f>
        <v/>
      </c>
      <c r="D53" s="10">
        <f>C53*(1-COM-COM_SHOP)-B53*(1+IMP_META)</f>
        <v/>
      </c>
      <c r="E53" s="11">
        <f>IF(B53&gt;0,C53/B53,"")</f>
        <v/>
      </c>
      <c r="F53" s="12">
        <f>SUMIFS(Registro!$H$2:$H$1501,Registro!$A$2:$A$1501,"&gt;="&amp;A53,Registro!$A$2:$A$1501,"&lt;"&amp;(A53+7))</f>
        <v/>
      </c>
      <c r="G53" s="10">
        <f>IF(F53&gt;0,B53/F53,"")</f>
        <v/>
      </c>
      <c r="H53" s="13">
        <f>IF(SUMIFS(Registro!$F$2:$F$1501,Registro!$A$2:$A$1501,"&gt;="&amp;A53,Registro!$A$2:$A$1501,"&lt;"&amp;(A53+7))&gt;0,SUMIFS(Registro!$G$2:$G$1501,Registro!$A$2:$A$1501,"&gt;="&amp;A53,Registro!$A$2:$A$1501,"&lt;"&amp;(A53+7))/SUMIFS(Registro!$F$2:$F$1501,Registro!$A$2:$A$1501,"&gt;="&amp;A53,Registro!$A$2:$A$1501,"&lt;"&amp;(A53+7)),"")</f>
        <v/>
      </c>
    </row>
    <row r="54">
      <c r="A54" s="18">
        <f>TODAY()-WEEKDAY(TODAY(),3)-21</f>
        <v/>
      </c>
      <c r="B54" s="10">
        <f>SUMIFS(Registro!$E$2:$E$1501,Registro!$A$2:$A$1501,"&gt;="&amp;A54,Registro!$A$2:$A$1501,"&lt;"&amp;(A54+7))</f>
        <v/>
      </c>
      <c r="C54" s="10">
        <f>SUMIFS(Registro!$I$2:$I$1501,Registro!$A$2:$A$1501,"&gt;="&amp;A54,Registro!$A$2:$A$1501,"&lt;"&amp;(A54+7))</f>
        <v/>
      </c>
      <c r="D54" s="10">
        <f>C54*(1-COM-COM_SHOP)-B54*(1+IMP_META)</f>
        <v/>
      </c>
      <c r="E54" s="11">
        <f>IF(B54&gt;0,C54/B54,"")</f>
        <v/>
      </c>
      <c r="F54" s="12">
        <f>SUMIFS(Registro!$H$2:$H$1501,Registro!$A$2:$A$1501,"&gt;="&amp;A54,Registro!$A$2:$A$1501,"&lt;"&amp;(A54+7))</f>
        <v/>
      </c>
      <c r="G54" s="10">
        <f>IF(F54&gt;0,B54/F54,"")</f>
        <v/>
      </c>
      <c r="H54" s="13">
        <f>IF(SUMIFS(Registro!$F$2:$F$1501,Registro!$A$2:$A$1501,"&gt;="&amp;A54,Registro!$A$2:$A$1501,"&lt;"&amp;(A54+7))&gt;0,SUMIFS(Registro!$G$2:$G$1501,Registro!$A$2:$A$1501,"&gt;="&amp;A54,Registro!$A$2:$A$1501,"&lt;"&amp;(A54+7))/SUMIFS(Registro!$F$2:$F$1501,Registro!$A$2:$A$1501,"&gt;="&amp;A54,Registro!$A$2:$A$1501,"&lt;"&amp;(A54+7)),"")</f>
        <v/>
      </c>
    </row>
    <row r="55">
      <c r="A55" s="18">
        <f>TODAY()-WEEKDAY(TODAY(),3)-14</f>
        <v/>
      </c>
      <c r="B55" s="10">
        <f>SUMIFS(Registro!$E$2:$E$1501,Registro!$A$2:$A$1501,"&gt;="&amp;A55,Registro!$A$2:$A$1501,"&lt;"&amp;(A55+7))</f>
        <v/>
      </c>
      <c r="C55" s="10">
        <f>SUMIFS(Registro!$I$2:$I$1501,Registro!$A$2:$A$1501,"&gt;="&amp;A55,Registro!$A$2:$A$1501,"&lt;"&amp;(A55+7))</f>
        <v/>
      </c>
      <c r="D55" s="10">
        <f>C55*(1-COM-COM_SHOP)-B55*(1+IMP_META)</f>
        <v/>
      </c>
      <c r="E55" s="11">
        <f>IF(B55&gt;0,C55/B55,"")</f>
        <v/>
      </c>
      <c r="F55" s="12">
        <f>SUMIFS(Registro!$H$2:$H$1501,Registro!$A$2:$A$1501,"&gt;="&amp;A55,Registro!$A$2:$A$1501,"&lt;"&amp;(A55+7))</f>
        <v/>
      </c>
      <c r="G55" s="10">
        <f>IF(F55&gt;0,B55/F55,"")</f>
        <v/>
      </c>
      <c r="H55" s="13">
        <f>IF(SUMIFS(Registro!$F$2:$F$1501,Registro!$A$2:$A$1501,"&gt;="&amp;A55,Registro!$A$2:$A$1501,"&lt;"&amp;(A55+7))&gt;0,SUMIFS(Registro!$G$2:$G$1501,Registro!$A$2:$A$1501,"&gt;="&amp;A55,Registro!$A$2:$A$1501,"&lt;"&amp;(A55+7))/SUMIFS(Registro!$F$2:$F$1501,Registro!$A$2:$A$1501,"&gt;="&amp;A55,Registro!$A$2:$A$1501,"&lt;"&amp;(A55+7)),"")</f>
        <v/>
      </c>
    </row>
    <row r="56">
      <c r="A56" s="18">
        <f>TODAY()-WEEKDAY(TODAY(),3)-7</f>
        <v/>
      </c>
      <c r="B56" s="10">
        <f>SUMIFS(Registro!$E$2:$E$1501,Registro!$A$2:$A$1501,"&gt;="&amp;A56,Registro!$A$2:$A$1501,"&lt;"&amp;(A56+7))</f>
        <v/>
      </c>
      <c r="C56" s="10">
        <f>SUMIFS(Registro!$I$2:$I$1501,Registro!$A$2:$A$1501,"&gt;="&amp;A56,Registro!$A$2:$A$1501,"&lt;"&amp;(A56+7))</f>
        <v/>
      </c>
      <c r="D56" s="10">
        <f>C56*(1-COM-COM_SHOP)-B56*(1+IMP_META)</f>
        <v/>
      </c>
      <c r="E56" s="11">
        <f>IF(B56&gt;0,C56/B56,"")</f>
        <v/>
      </c>
      <c r="F56" s="12">
        <f>SUMIFS(Registro!$H$2:$H$1501,Registro!$A$2:$A$1501,"&gt;="&amp;A56,Registro!$A$2:$A$1501,"&lt;"&amp;(A56+7))</f>
        <v/>
      </c>
      <c r="G56" s="10">
        <f>IF(F56&gt;0,B56/F56,"")</f>
        <v/>
      </c>
      <c r="H56" s="13">
        <f>IF(SUMIFS(Registro!$F$2:$F$1501,Registro!$A$2:$A$1501,"&gt;="&amp;A56,Registro!$A$2:$A$1501,"&lt;"&amp;(A56+7))&gt;0,SUMIFS(Registro!$G$2:$G$1501,Registro!$A$2:$A$1501,"&gt;="&amp;A56,Registro!$A$2:$A$1501,"&lt;"&amp;(A56+7))/SUMIFS(Registro!$F$2:$F$1501,Registro!$A$2:$A$1501,"&gt;="&amp;A56,Registro!$A$2:$A$1501,"&lt;"&amp;(A56+7)),"")</f>
        <v/>
      </c>
    </row>
    <row r="57">
      <c r="A57" s="18">
        <f>TODAY()-WEEKDAY(TODAY(),3)-0</f>
        <v/>
      </c>
      <c r="B57" s="10">
        <f>SUMIFS(Registro!$E$2:$E$1501,Registro!$A$2:$A$1501,"&gt;="&amp;A57,Registro!$A$2:$A$1501,"&lt;"&amp;(A57+7))</f>
        <v/>
      </c>
      <c r="C57" s="10">
        <f>SUMIFS(Registro!$I$2:$I$1501,Registro!$A$2:$A$1501,"&gt;="&amp;A57,Registro!$A$2:$A$1501,"&lt;"&amp;(A57+7))</f>
        <v/>
      </c>
      <c r="D57" s="10">
        <f>C57*(1-COM-COM_SHOP)-B57*(1+IMP_META)</f>
        <v/>
      </c>
      <c r="E57" s="11">
        <f>IF(B57&gt;0,C57/B57,"")</f>
        <v/>
      </c>
      <c r="F57" s="12">
        <f>SUMIFS(Registro!$H$2:$H$1501,Registro!$A$2:$A$1501,"&gt;="&amp;A57,Registro!$A$2:$A$1501,"&lt;"&amp;(A57+7))</f>
        <v/>
      </c>
      <c r="G57" s="10">
        <f>IF(F57&gt;0,B57/F57,"")</f>
        <v/>
      </c>
      <c r="H57" s="13">
        <f>IF(SUMIFS(Registro!$F$2:$F$1501,Registro!$A$2:$A$1501,"&gt;="&amp;A57,Registro!$A$2:$A$1501,"&lt;"&amp;(A57+7))&gt;0,SUMIFS(Registro!$G$2:$G$1501,Registro!$A$2:$A$1501,"&gt;="&amp;A57,Registro!$A$2:$A$1501,"&lt;"&amp;(A57+7))/SUMIFS(Registro!$F$2:$F$1501,Registro!$A$2:$A$1501,"&gt;="&amp;A57,Registro!$A$2:$A$1501,"&lt;"&amp;(A57+7)),"")</f>
        <v/>
      </c>
    </row>
  </sheetData>
  <conditionalFormatting sqref="D4">
    <cfRule type="cellIs" priority="1" operator="lessThan" dxfId="0">
      <formula>0</formula>
    </cfRule>
    <cfRule type="cellIs" priority="2" operator="greaterThan" dxfId="1">
      <formula>0</formula>
    </cfRule>
  </conditionalFormatting>
  <conditionalFormatting sqref="D9:E10">
    <cfRule type="expression" priority="3" dxfId="0">
      <formula>AND($B9&gt;0,$D9&lt;0)</formula>
    </cfRule>
    <cfRule type="expression" priority="4" dxfId="1">
      <formula>AND($B9&gt;0,$D9&gt;0)</formula>
    </cfRule>
  </conditionalFormatting>
  <conditionalFormatting sqref="D15:E29">
    <cfRule type="expression" priority="5" dxfId="0">
      <formula>AND($B15&gt;0,$D15&lt;0)</formula>
    </cfRule>
    <cfRule type="expression" priority="6" dxfId="1">
      <formula>AND($B15&gt;0,$D15&gt;0)</formula>
    </cfRule>
  </conditionalFormatting>
  <conditionalFormatting sqref="D34:E45">
    <cfRule type="expression" priority="7" dxfId="0">
      <formula>AND($B34&gt;0,$D34&lt;0)</formula>
    </cfRule>
    <cfRule type="expression" priority="8" dxfId="1">
      <formula>AND($B34&gt;0,$D34&gt;0)</formula>
    </cfRule>
  </conditionalFormatting>
  <conditionalFormatting sqref="D50:E57">
    <cfRule type="expression" priority="9" dxfId="0">
      <formula>AND($B50&gt;0,$D50&lt;0)</formula>
    </cfRule>
    <cfRule type="expression" priority="10" dxfId="1">
      <formula>AND($B50&gt;0,$D50&gt;0)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4" customWidth="1" min="2" max="2"/>
    <col width="11" customWidth="1" min="3" max="3"/>
    <col width="11" customWidth="1" min="4" max="4"/>
    <col width="9" customWidth="1" min="5" max="5"/>
    <col width="12" customWidth="1" min="6" max="6"/>
    <col width="11" customWidth="1" min="7" max="7"/>
    <col width="9" customWidth="1" min="8" max="8"/>
    <col width="11" customWidth="1" min="9" max="9"/>
    <col width="10" customWidth="1" min="10" max="10"/>
    <col width="8" customWidth="1" min="11" max="11"/>
    <col width="13" customWidth="1" min="12" max="12"/>
    <col width="8" customWidth="1" min="13" max="13"/>
    <col width="26" customWidth="1" min="14" max="14"/>
    <col width="12" customWidth="1" min="15" max="15"/>
    <col width="9" customWidth="1" min="16" max="16"/>
    <col width="11" customWidth="1" min="17" max="17"/>
    <col width="8" customWidth="1" min="18" max="18"/>
    <col width="13" customWidth="1" min="19" max="19"/>
    <col width="18" customWidth="1" min="20" max="20"/>
    <col width="14" customWidth="1" min="21" max="21"/>
  </cols>
  <sheetData>
    <row r="1">
      <c r="A1" s="1" t="inlineStr">
        <is>
          <t>Tablero de anuncios</t>
        </is>
      </c>
    </row>
    <row r="2">
      <c r="A2" s="19">
        <f>"CPA de equilibrio: "&amp;TEXT(CPA_BE,"$ #,##0")&amp;"   ·   ROAS de equilibrio: "&amp;TEXT(ROAS_BE,"0.00")&amp;"x"</f>
        <v/>
      </c>
    </row>
    <row r="3">
      <c r="A3" s="6" t="inlineStr">
        <is>
          <t>Cargá acá cada anuncio (nombre tal cual lo vas a elegir en Registro) y su ángulo. Todo lo demás se calcula.</t>
        </is>
      </c>
    </row>
    <row r="4">
      <c r="A4" s="20" t="inlineStr">
        <is>
          <t>ANUNCIO</t>
        </is>
      </c>
      <c r="F4" s="21" t="inlineStr">
        <is>
          <t>TEST ABO</t>
        </is>
      </c>
      <c r="O4" s="22" t="inlineStr">
        <is>
          <t>ESCALA CBO</t>
        </is>
      </c>
      <c r="U4" s="20" t="inlineStr">
        <is>
          <t>TOTAL</t>
        </is>
      </c>
    </row>
    <row r="5" ht="36" customHeight="1">
      <c r="A5" s="8" t="inlineStr">
        <is>
          <t>Anuncio</t>
        </is>
      </c>
      <c r="B5" s="8" t="inlineStr">
        <is>
          <t>Ángulo</t>
        </is>
      </c>
      <c r="C5" s="8" t="inlineStr">
        <is>
          <t>Formato</t>
        </is>
      </c>
      <c r="D5" s="8" t="inlineStr">
        <is>
          <t>Primer día</t>
        </is>
      </c>
      <c r="E5" s="8" t="inlineStr">
        <is>
          <t>Días con datos</t>
        </is>
      </c>
      <c r="F5" s="8" t="inlineStr">
        <is>
          <t>Gasto</t>
        </is>
      </c>
      <c r="G5" s="8" t="inlineStr">
        <is>
          <t>Gastado (veces CPA BE)</t>
        </is>
      </c>
      <c r="H5" s="8" t="inlineStr">
        <is>
          <t>Compras</t>
        </is>
      </c>
      <c r="I5" s="8" t="inlineStr">
        <is>
          <t>CPA</t>
        </is>
      </c>
      <c r="J5" s="8" t="inlineStr">
        <is>
          <t>CPA vs BE</t>
        </is>
      </c>
      <c r="K5" s="8" t="inlineStr">
        <is>
          <t>ROAS</t>
        </is>
      </c>
      <c r="L5" s="8" t="inlineStr">
        <is>
          <t>Ganancia neta</t>
        </is>
      </c>
      <c r="M5" s="8" t="inlineStr">
        <is>
          <t>CTR</t>
        </is>
      </c>
      <c r="N5" s="8" t="inlineStr">
        <is>
          <t>ESTADO TEST</t>
        </is>
      </c>
      <c r="O5" s="8" t="inlineStr">
        <is>
          <t>Gasto</t>
        </is>
      </c>
      <c r="P5" s="8" t="inlineStr">
        <is>
          <t>Compras</t>
        </is>
      </c>
      <c r="Q5" s="8" t="inlineStr">
        <is>
          <t>CPA</t>
        </is>
      </c>
      <c r="R5" s="8" t="inlineStr">
        <is>
          <t>ROAS</t>
        </is>
      </c>
      <c r="S5" s="8" t="inlineStr">
        <is>
          <t>Ganancia neta</t>
        </is>
      </c>
      <c r="T5" s="8" t="inlineStr">
        <is>
          <t>Estado escala</t>
        </is>
      </c>
      <c r="U5" s="8" t="inlineStr">
        <is>
          <t>Ganancia neta total</t>
        </is>
      </c>
    </row>
    <row r="6">
      <c r="A6" s="23" t="inlineStr">
        <is>
          <t>AD01 - Ahorro de tiempo</t>
        </is>
      </c>
      <c r="B6" s="23" t="inlineStr">
        <is>
          <t>Ahorro de tiempo</t>
        </is>
      </c>
      <c r="C6" s="23" t="inlineStr">
        <is>
          <t>Video</t>
        </is>
      </c>
      <c r="D6" s="18">
        <f>IF(COUNTIFS(Registro!$C$2:$C$1501,$A6)=0,"",_xlfn.MINIFS(Registro!$A$2:$A$1501,Registro!$C$2:$C$1501,$A6))</f>
        <v/>
      </c>
      <c r="E6" s="12">
        <f>IF($A6="","",COUNTIFS(Registro!$C$2:$C$1501,$A6,Registro!$E$2:$E$1501,"&gt;0"))</f>
        <v/>
      </c>
      <c r="F6" s="10">
        <f>IF($A6="","",SUMIFS(Registro!$E$2:$E$1501,Registro!$C$2:$C$1501,$A6,Registro!$B$2:$B$1501,"Test ABO"))</f>
        <v/>
      </c>
      <c r="G6" s="24">
        <f>IF($A6="","",F6/CPA_BE)</f>
        <v/>
      </c>
      <c r="H6" s="12">
        <f>IF($A6="","",SUMIFS(Registro!$H$2:$H$1501,Registro!$C$2:$C$1501,$A6,Registro!$B$2:$B$1501,"Test ABO"))</f>
        <v/>
      </c>
      <c r="I6" s="10">
        <f>IF(N(H6)&gt;0,F6/H6,"")</f>
        <v/>
      </c>
      <c r="J6" s="25">
        <f>IF(N(H6)&gt;0,I6/CPA_BE-1,"")</f>
        <v/>
      </c>
      <c r="K6" s="11">
        <f>IF(N(F6)&gt;0,SUMIFS(Registro!$I$2:$I$1501,Registro!$C$2:$C$1501,$A6,Registro!$B$2:$B$1501,"Test ABO")/F6,"")</f>
        <v/>
      </c>
      <c r="L6" s="10">
        <f>IF(N(F6)&gt;0,SUMIFS(Registro!$I$2:$I$1501,Registro!$C$2:$C$1501,$A6,Registro!$B$2:$B$1501,"Test ABO")*(1-COM-COM_SHOP)-F6*(1+IMP_META),"")</f>
        <v/>
      </c>
      <c r="M6" s="13">
        <f>IF(SUMIFS(Registro!$F$2:$F$1501,Registro!$C$2:$C$1501,$A6,Registro!$B$2:$B$1501,"Test ABO")&gt;0,SUMIFS(Registro!$G$2:$G$1501,Registro!$C$2:$C$1501,$A6,Registro!$B$2:$B$1501,"Test ABO")/SUMIFS(Registro!$F$2:$F$1501,Registro!$C$2:$C$1501,$A6,Registro!$B$2:$B$1501,"Test ABO"),"")</f>
        <v/>
      </c>
      <c r="N6" s="9">
        <f>IF($A6="","",IF(N(F6)=0,"Sin datos",IF(AND(H6&gt;=MIN_VENTAS,N(I6)&lt;=CPA_BE),"GANADOR → pasar a CBO",IF(AND(H6=0,F6&gt;=K_SIN_VENTA*CPA_BE),"APAGAR (sin ventas)",IF(AND(H6&gt;0,F6&gt;=K_CARO*CPA_BE,N(I6)&gt;CPA_BE*(1+TOL)),"APAGAR (CPA alto)",IF(AND(H6&gt;0,N(I6)&lt;=CPA_BE*(1+TOL)),"Prometedor / cerca del BE","Juntando datos"))))))</f>
        <v/>
      </c>
      <c r="O6" s="10">
        <f>IF($A6="","",SUMIFS(Registro!$E$2:$E$1501,Registro!$C$2:$C$1501,$A6,Registro!$B$2:$B$1501,"Escala CBO"))</f>
        <v/>
      </c>
      <c r="P6" s="12">
        <f>IF($A6="","",SUMIFS(Registro!$H$2:$H$1501,Registro!$C$2:$C$1501,$A6,Registro!$B$2:$B$1501,"Escala CBO"))</f>
        <v/>
      </c>
      <c r="Q6" s="10">
        <f>IF(N(P6)&gt;0,O6/P6,"")</f>
        <v/>
      </c>
      <c r="R6" s="11">
        <f>IF(N(O6)&gt;0,SUMIFS(Registro!$I$2:$I$1501,Registro!$C$2:$C$1501,$A6,Registro!$B$2:$B$1501,"Escala CBO")/O6,"")</f>
        <v/>
      </c>
      <c r="S6" s="10">
        <f>IF(N(O6)&gt;0,SUMIFS(Registro!$I$2:$I$1501,Registro!$C$2:$C$1501,$A6,Registro!$B$2:$B$1501,"Escala CBO")*(1-COM-COM_SHOP)-O6*(1+IMP_META),"")</f>
        <v/>
      </c>
      <c r="T6" s="9">
        <f>IF(N(O6)=0,"",IF(P6=0,IF(O6&gt;=K_SIN_VENTA*CPA_BE,"Sin ventas: revisar","Juntando datos"),IF(Q6&lt;=CPA_BE,"Rentable","No rentable")))</f>
        <v/>
      </c>
      <c r="U6" s="10">
        <f>IF($A6="","",N(L6)+N(S6))</f>
        <v/>
      </c>
    </row>
    <row r="7">
      <c r="A7" s="23" t="inlineStr">
        <is>
          <t>AD02 - Resultados en los chicos</t>
        </is>
      </c>
      <c r="B7" s="23" t="inlineStr">
        <is>
          <t>Resultados en los chicos</t>
        </is>
      </c>
      <c r="C7" s="23" t="inlineStr">
        <is>
          <t>Video</t>
        </is>
      </c>
      <c r="D7" s="18">
        <f>IF(COUNTIFS(Registro!$C$2:$C$1501,$A7)=0,"",_xlfn.MINIFS(Registro!$A$2:$A$1501,Registro!$C$2:$C$1501,$A7))</f>
        <v/>
      </c>
      <c r="E7" s="12">
        <f>IF($A7="","",COUNTIFS(Registro!$C$2:$C$1501,$A7,Registro!$E$2:$E$1501,"&gt;0"))</f>
        <v/>
      </c>
      <c r="F7" s="10">
        <f>IF($A7="","",SUMIFS(Registro!$E$2:$E$1501,Registro!$C$2:$C$1501,$A7,Registro!$B$2:$B$1501,"Test ABO"))</f>
        <v/>
      </c>
      <c r="G7" s="24">
        <f>IF($A7="","",F7/CPA_BE)</f>
        <v/>
      </c>
      <c r="H7" s="12">
        <f>IF($A7="","",SUMIFS(Registro!$H$2:$H$1501,Registro!$C$2:$C$1501,$A7,Registro!$B$2:$B$1501,"Test ABO"))</f>
        <v/>
      </c>
      <c r="I7" s="10">
        <f>IF(N(H7)&gt;0,F7/H7,"")</f>
        <v/>
      </c>
      <c r="J7" s="25">
        <f>IF(N(H7)&gt;0,I7/CPA_BE-1,"")</f>
        <v/>
      </c>
      <c r="K7" s="11">
        <f>IF(N(F7)&gt;0,SUMIFS(Registro!$I$2:$I$1501,Registro!$C$2:$C$1501,$A7,Registro!$B$2:$B$1501,"Test ABO")/F7,"")</f>
        <v/>
      </c>
      <c r="L7" s="10">
        <f>IF(N(F7)&gt;0,SUMIFS(Registro!$I$2:$I$1501,Registro!$C$2:$C$1501,$A7,Registro!$B$2:$B$1501,"Test ABO")*(1-COM-COM_SHOP)-F7*(1+IMP_META),"")</f>
        <v/>
      </c>
      <c r="M7" s="13">
        <f>IF(SUMIFS(Registro!$F$2:$F$1501,Registro!$C$2:$C$1501,$A7,Registro!$B$2:$B$1501,"Test ABO")&gt;0,SUMIFS(Registro!$G$2:$G$1501,Registro!$C$2:$C$1501,$A7,Registro!$B$2:$B$1501,"Test ABO")/SUMIFS(Registro!$F$2:$F$1501,Registro!$C$2:$C$1501,$A7,Registro!$B$2:$B$1501,"Test ABO"),"")</f>
        <v/>
      </c>
      <c r="N7" s="9">
        <f>IF($A7="","",IF(N(F7)=0,"Sin datos",IF(AND(H7&gt;=MIN_VENTAS,N(I7)&lt;=CPA_BE),"GANADOR → pasar a CBO",IF(AND(H7=0,F7&gt;=K_SIN_VENTA*CPA_BE),"APAGAR (sin ventas)",IF(AND(H7&gt;0,F7&gt;=K_CARO*CPA_BE,N(I7)&gt;CPA_BE*(1+TOL)),"APAGAR (CPA alto)",IF(AND(H7&gt;0,N(I7)&lt;=CPA_BE*(1+TOL)),"Prometedor / cerca del BE","Juntando datos"))))))</f>
        <v/>
      </c>
      <c r="O7" s="10">
        <f>IF($A7="","",SUMIFS(Registro!$E$2:$E$1501,Registro!$C$2:$C$1501,$A7,Registro!$B$2:$B$1501,"Escala CBO"))</f>
        <v/>
      </c>
      <c r="P7" s="12">
        <f>IF($A7="","",SUMIFS(Registro!$H$2:$H$1501,Registro!$C$2:$C$1501,$A7,Registro!$B$2:$B$1501,"Escala CBO"))</f>
        <v/>
      </c>
      <c r="Q7" s="10">
        <f>IF(N(P7)&gt;0,O7/P7,"")</f>
        <v/>
      </c>
      <c r="R7" s="11">
        <f>IF(N(O7)&gt;0,SUMIFS(Registro!$I$2:$I$1501,Registro!$C$2:$C$1501,$A7,Registro!$B$2:$B$1501,"Escala CBO")/O7,"")</f>
        <v/>
      </c>
      <c r="S7" s="10">
        <f>IF(N(O7)&gt;0,SUMIFS(Registro!$I$2:$I$1501,Registro!$C$2:$C$1501,$A7,Registro!$B$2:$B$1501,"Escala CBO")*(1-COM-COM_SHOP)-O7*(1+IMP_META),"")</f>
        <v/>
      </c>
      <c r="T7" s="9">
        <f>IF(N(O7)=0,"",IF(P7=0,IF(O7&gt;=K_SIN_VENTA*CPA_BE,"Sin ventas: revisar","Juntando datos"),IF(Q7&lt;=CPA_BE,"Rentable","No rentable")))</f>
        <v/>
      </c>
      <c r="U7" s="10">
        <f>IF($A7="","",N(L7)+N(S7))</f>
        <v/>
      </c>
    </row>
    <row r="8">
      <c r="A8" s="23" t="inlineStr">
        <is>
          <t>AD03 - Autoridad musicoterapeuta</t>
        </is>
      </c>
      <c r="B8" s="23" t="inlineStr">
        <is>
          <t>Autoridad musicoterapeuta</t>
        </is>
      </c>
      <c r="C8" s="23" t="inlineStr">
        <is>
          <t>Imagen</t>
        </is>
      </c>
      <c r="D8" s="18">
        <f>IF(COUNTIFS(Registro!$C$2:$C$1501,$A8)=0,"",_xlfn.MINIFS(Registro!$A$2:$A$1501,Registro!$C$2:$C$1501,$A8))</f>
        <v/>
      </c>
      <c r="E8" s="12">
        <f>IF($A8="","",COUNTIFS(Registro!$C$2:$C$1501,$A8,Registro!$E$2:$E$1501,"&gt;0"))</f>
        <v/>
      </c>
      <c r="F8" s="10">
        <f>IF($A8="","",SUMIFS(Registro!$E$2:$E$1501,Registro!$C$2:$C$1501,$A8,Registro!$B$2:$B$1501,"Test ABO"))</f>
        <v/>
      </c>
      <c r="G8" s="24">
        <f>IF($A8="","",F8/CPA_BE)</f>
        <v/>
      </c>
      <c r="H8" s="12">
        <f>IF($A8="","",SUMIFS(Registro!$H$2:$H$1501,Registro!$C$2:$C$1501,$A8,Registro!$B$2:$B$1501,"Test ABO"))</f>
        <v/>
      </c>
      <c r="I8" s="10">
        <f>IF(N(H8)&gt;0,F8/H8,"")</f>
        <v/>
      </c>
      <c r="J8" s="25">
        <f>IF(N(H8)&gt;0,I8/CPA_BE-1,"")</f>
        <v/>
      </c>
      <c r="K8" s="11">
        <f>IF(N(F8)&gt;0,SUMIFS(Registro!$I$2:$I$1501,Registro!$C$2:$C$1501,$A8,Registro!$B$2:$B$1501,"Test ABO")/F8,"")</f>
        <v/>
      </c>
      <c r="L8" s="10">
        <f>IF(N(F8)&gt;0,SUMIFS(Registro!$I$2:$I$1501,Registro!$C$2:$C$1501,$A8,Registro!$B$2:$B$1501,"Test ABO")*(1-COM-COM_SHOP)-F8*(1+IMP_META),"")</f>
        <v/>
      </c>
      <c r="M8" s="13">
        <f>IF(SUMIFS(Registro!$F$2:$F$1501,Registro!$C$2:$C$1501,$A8,Registro!$B$2:$B$1501,"Test ABO")&gt;0,SUMIFS(Registro!$G$2:$G$1501,Registro!$C$2:$C$1501,$A8,Registro!$B$2:$B$1501,"Test ABO")/SUMIFS(Registro!$F$2:$F$1501,Registro!$C$2:$C$1501,$A8,Registro!$B$2:$B$1501,"Test ABO"),"")</f>
        <v/>
      </c>
      <c r="N8" s="9">
        <f>IF($A8="","",IF(N(F8)=0,"Sin datos",IF(AND(H8&gt;=MIN_VENTAS,N(I8)&lt;=CPA_BE),"GANADOR → pasar a CBO",IF(AND(H8=0,F8&gt;=K_SIN_VENTA*CPA_BE),"APAGAR (sin ventas)",IF(AND(H8&gt;0,F8&gt;=K_CARO*CPA_BE,N(I8)&gt;CPA_BE*(1+TOL)),"APAGAR (CPA alto)",IF(AND(H8&gt;0,N(I8)&lt;=CPA_BE*(1+TOL)),"Prometedor / cerca del BE","Juntando datos"))))))</f>
        <v/>
      </c>
      <c r="O8" s="10">
        <f>IF($A8="","",SUMIFS(Registro!$E$2:$E$1501,Registro!$C$2:$C$1501,$A8,Registro!$B$2:$B$1501,"Escala CBO"))</f>
        <v/>
      </c>
      <c r="P8" s="12">
        <f>IF($A8="","",SUMIFS(Registro!$H$2:$H$1501,Registro!$C$2:$C$1501,$A8,Registro!$B$2:$B$1501,"Escala CBO"))</f>
        <v/>
      </c>
      <c r="Q8" s="10">
        <f>IF(N(P8)&gt;0,O8/P8,"")</f>
        <v/>
      </c>
      <c r="R8" s="11">
        <f>IF(N(O8)&gt;0,SUMIFS(Registro!$I$2:$I$1501,Registro!$C$2:$C$1501,$A8,Registro!$B$2:$B$1501,"Escala CBO")/O8,"")</f>
        <v/>
      </c>
      <c r="S8" s="10">
        <f>IF(N(O8)&gt;0,SUMIFS(Registro!$I$2:$I$1501,Registro!$C$2:$C$1501,$A8,Registro!$B$2:$B$1501,"Escala CBO")*(1-COM-COM_SHOP)-O8*(1+IMP_META),"")</f>
        <v/>
      </c>
      <c r="T8" s="9">
        <f>IF(N(O8)=0,"",IF(P8=0,IF(O8&gt;=K_SIN_VENTA*CPA_BE,"Sin ventas: revisar","Juntando datos"),IF(Q8&lt;=CPA_BE,"Rentable","No rentable")))</f>
        <v/>
      </c>
      <c r="U8" s="10">
        <f>IF($A8="","",N(L8)+N(S8))</f>
        <v/>
      </c>
    </row>
    <row r="9">
      <c r="A9" s="23" t="n"/>
      <c r="B9" s="23" t="n"/>
      <c r="C9" s="23" t="n"/>
      <c r="D9" s="18">
        <f>IF(COUNTIFS(Registro!$C$2:$C$1501,$A9)=0,"",_xlfn.MINIFS(Registro!$A$2:$A$1501,Registro!$C$2:$C$1501,$A9))</f>
        <v/>
      </c>
      <c r="E9" s="12">
        <f>IF($A9="","",COUNTIFS(Registro!$C$2:$C$1501,$A9,Registro!$E$2:$E$1501,"&gt;0"))</f>
        <v/>
      </c>
      <c r="F9" s="10">
        <f>IF($A9="","",SUMIFS(Registro!$E$2:$E$1501,Registro!$C$2:$C$1501,$A9,Registro!$B$2:$B$1501,"Test ABO"))</f>
        <v/>
      </c>
      <c r="G9" s="24">
        <f>IF($A9="","",F9/CPA_BE)</f>
        <v/>
      </c>
      <c r="H9" s="12">
        <f>IF($A9="","",SUMIFS(Registro!$H$2:$H$1501,Registro!$C$2:$C$1501,$A9,Registro!$B$2:$B$1501,"Test ABO"))</f>
        <v/>
      </c>
      <c r="I9" s="10">
        <f>IF(N(H9)&gt;0,F9/H9,"")</f>
        <v/>
      </c>
      <c r="J9" s="25">
        <f>IF(N(H9)&gt;0,I9/CPA_BE-1,"")</f>
        <v/>
      </c>
      <c r="K9" s="11">
        <f>IF(N(F9)&gt;0,SUMIFS(Registro!$I$2:$I$1501,Registro!$C$2:$C$1501,$A9,Registro!$B$2:$B$1501,"Test ABO")/F9,"")</f>
        <v/>
      </c>
      <c r="L9" s="10">
        <f>IF(N(F9)&gt;0,SUMIFS(Registro!$I$2:$I$1501,Registro!$C$2:$C$1501,$A9,Registro!$B$2:$B$1501,"Test ABO")*(1-COM-COM_SHOP)-F9*(1+IMP_META),"")</f>
        <v/>
      </c>
      <c r="M9" s="13">
        <f>IF(SUMIFS(Registro!$F$2:$F$1501,Registro!$C$2:$C$1501,$A9,Registro!$B$2:$B$1501,"Test ABO")&gt;0,SUMIFS(Registro!$G$2:$G$1501,Registro!$C$2:$C$1501,$A9,Registro!$B$2:$B$1501,"Test ABO")/SUMIFS(Registro!$F$2:$F$1501,Registro!$C$2:$C$1501,$A9,Registro!$B$2:$B$1501,"Test ABO"),"")</f>
        <v/>
      </c>
      <c r="N9" s="9">
        <f>IF($A9="","",IF(N(F9)=0,"Sin datos",IF(AND(H9&gt;=MIN_VENTAS,N(I9)&lt;=CPA_BE),"GANADOR → pasar a CBO",IF(AND(H9=0,F9&gt;=K_SIN_VENTA*CPA_BE),"APAGAR (sin ventas)",IF(AND(H9&gt;0,F9&gt;=K_CARO*CPA_BE,N(I9)&gt;CPA_BE*(1+TOL)),"APAGAR (CPA alto)",IF(AND(H9&gt;0,N(I9)&lt;=CPA_BE*(1+TOL)),"Prometedor / cerca del BE","Juntando datos"))))))</f>
        <v/>
      </c>
      <c r="O9" s="10">
        <f>IF($A9="","",SUMIFS(Registro!$E$2:$E$1501,Registro!$C$2:$C$1501,$A9,Registro!$B$2:$B$1501,"Escala CBO"))</f>
        <v/>
      </c>
      <c r="P9" s="12">
        <f>IF($A9="","",SUMIFS(Registro!$H$2:$H$1501,Registro!$C$2:$C$1501,$A9,Registro!$B$2:$B$1501,"Escala CBO"))</f>
        <v/>
      </c>
      <c r="Q9" s="10">
        <f>IF(N(P9)&gt;0,O9/P9,"")</f>
        <v/>
      </c>
      <c r="R9" s="11">
        <f>IF(N(O9)&gt;0,SUMIFS(Registro!$I$2:$I$1501,Registro!$C$2:$C$1501,$A9,Registro!$B$2:$B$1501,"Escala CBO")/O9,"")</f>
        <v/>
      </c>
      <c r="S9" s="10">
        <f>IF(N(O9)&gt;0,SUMIFS(Registro!$I$2:$I$1501,Registro!$C$2:$C$1501,$A9,Registro!$B$2:$B$1501,"Escala CBO")*(1-COM-COM_SHOP)-O9*(1+IMP_META),"")</f>
        <v/>
      </c>
      <c r="T9" s="9">
        <f>IF(N(O9)=0,"",IF(P9=0,IF(O9&gt;=K_SIN_VENTA*CPA_BE,"Sin ventas: revisar","Juntando datos"),IF(Q9&lt;=CPA_BE,"Rentable","No rentable")))</f>
        <v/>
      </c>
      <c r="U9" s="10">
        <f>IF($A9="","",N(L9)+N(S9))</f>
        <v/>
      </c>
    </row>
    <row r="10">
      <c r="A10" s="23" t="n"/>
      <c r="B10" s="23" t="n"/>
      <c r="C10" s="23" t="n"/>
      <c r="D10" s="18">
        <f>IF(COUNTIFS(Registro!$C$2:$C$1501,$A10)=0,"",_xlfn.MINIFS(Registro!$A$2:$A$1501,Registro!$C$2:$C$1501,$A10))</f>
        <v/>
      </c>
      <c r="E10" s="12">
        <f>IF($A10="","",COUNTIFS(Registro!$C$2:$C$1501,$A10,Registro!$E$2:$E$1501,"&gt;0"))</f>
        <v/>
      </c>
      <c r="F10" s="10">
        <f>IF($A10="","",SUMIFS(Registro!$E$2:$E$1501,Registro!$C$2:$C$1501,$A10,Registro!$B$2:$B$1501,"Test ABO"))</f>
        <v/>
      </c>
      <c r="G10" s="24">
        <f>IF($A10="","",F10/CPA_BE)</f>
        <v/>
      </c>
      <c r="H10" s="12">
        <f>IF($A10="","",SUMIFS(Registro!$H$2:$H$1501,Registro!$C$2:$C$1501,$A10,Registro!$B$2:$B$1501,"Test ABO"))</f>
        <v/>
      </c>
      <c r="I10" s="10">
        <f>IF(N(H10)&gt;0,F10/H10,"")</f>
        <v/>
      </c>
      <c r="J10" s="25">
        <f>IF(N(H10)&gt;0,I10/CPA_BE-1,"")</f>
        <v/>
      </c>
      <c r="K10" s="11">
        <f>IF(N(F10)&gt;0,SUMIFS(Registro!$I$2:$I$1501,Registro!$C$2:$C$1501,$A10,Registro!$B$2:$B$1501,"Test ABO")/F10,"")</f>
        <v/>
      </c>
      <c r="L10" s="10">
        <f>IF(N(F10)&gt;0,SUMIFS(Registro!$I$2:$I$1501,Registro!$C$2:$C$1501,$A10,Registro!$B$2:$B$1501,"Test ABO")*(1-COM-COM_SHOP)-F10*(1+IMP_META),"")</f>
        <v/>
      </c>
      <c r="M10" s="13">
        <f>IF(SUMIFS(Registro!$F$2:$F$1501,Registro!$C$2:$C$1501,$A10,Registro!$B$2:$B$1501,"Test ABO")&gt;0,SUMIFS(Registro!$G$2:$G$1501,Registro!$C$2:$C$1501,$A10,Registro!$B$2:$B$1501,"Test ABO")/SUMIFS(Registro!$F$2:$F$1501,Registro!$C$2:$C$1501,$A10,Registro!$B$2:$B$1501,"Test ABO"),"")</f>
        <v/>
      </c>
      <c r="N10" s="9">
        <f>IF($A10="","",IF(N(F10)=0,"Sin datos",IF(AND(H10&gt;=MIN_VENTAS,N(I10)&lt;=CPA_BE),"GANADOR → pasar a CBO",IF(AND(H10=0,F10&gt;=K_SIN_VENTA*CPA_BE),"APAGAR (sin ventas)",IF(AND(H10&gt;0,F10&gt;=K_CARO*CPA_BE,N(I10)&gt;CPA_BE*(1+TOL)),"APAGAR (CPA alto)",IF(AND(H10&gt;0,N(I10)&lt;=CPA_BE*(1+TOL)),"Prometedor / cerca del BE","Juntando datos"))))))</f>
        <v/>
      </c>
      <c r="O10" s="10">
        <f>IF($A10="","",SUMIFS(Registro!$E$2:$E$1501,Registro!$C$2:$C$1501,$A10,Registro!$B$2:$B$1501,"Escala CBO"))</f>
        <v/>
      </c>
      <c r="P10" s="12">
        <f>IF($A10="","",SUMIFS(Registro!$H$2:$H$1501,Registro!$C$2:$C$1501,$A10,Registro!$B$2:$B$1501,"Escala CBO"))</f>
        <v/>
      </c>
      <c r="Q10" s="10">
        <f>IF(N(P10)&gt;0,O10/P10,"")</f>
        <v/>
      </c>
      <c r="R10" s="11">
        <f>IF(N(O10)&gt;0,SUMIFS(Registro!$I$2:$I$1501,Registro!$C$2:$C$1501,$A10,Registro!$B$2:$B$1501,"Escala CBO")/O10,"")</f>
        <v/>
      </c>
      <c r="S10" s="10">
        <f>IF(N(O10)&gt;0,SUMIFS(Registro!$I$2:$I$1501,Registro!$C$2:$C$1501,$A10,Registro!$B$2:$B$1501,"Escala CBO")*(1-COM-COM_SHOP)-O10*(1+IMP_META),"")</f>
        <v/>
      </c>
      <c r="T10" s="9">
        <f>IF(N(O10)=0,"",IF(P10=0,IF(O10&gt;=K_SIN_VENTA*CPA_BE,"Sin ventas: revisar","Juntando datos"),IF(Q10&lt;=CPA_BE,"Rentable","No rentable")))</f>
        <v/>
      </c>
      <c r="U10" s="10">
        <f>IF($A10="","",N(L10)+N(S10))</f>
        <v/>
      </c>
    </row>
    <row r="11">
      <c r="A11" s="23" t="n"/>
      <c r="B11" s="23" t="n"/>
      <c r="C11" s="23" t="n"/>
      <c r="D11" s="18">
        <f>IF(COUNTIFS(Registro!$C$2:$C$1501,$A11)=0,"",_xlfn.MINIFS(Registro!$A$2:$A$1501,Registro!$C$2:$C$1501,$A11))</f>
        <v/>
      </c>
      <c r="E11" s="12">
        <f>IF($A11="","",COUNTIFS(Registro!$C$2:$C$1501,$A11,Registro!$E$2:$E$1501,"&gt;0"))</f>
        <v/>
      </c>
      <c r="F11" s="10">
        <f>IF($A11="","",SUMIFS(Registro!$E$2:$E$1501,Registro!$C$2:$C$1501,$A11,Registro!$B$2:$B$1501,"Test ABO"))</f>
        <v/>
      </c>
      <c r="G11" s="24">
        <f>IF($A11="","",F11/CPA_BE)</f>
        <v/>
      </c>
      <c r="H11" s="12">
        <f>IF($A11="","",SUMIFS(Registro!$H$2:$H$1501,Registro!$C$2:$C$1501,$A11,Registro!$B$2:$B$1501,"Test ABO"))</f>
        <v/>
      </c>
      <c r="I11" s="10">
        <f>IF(N(H11)&gt;0,F11/H11,"")</f>
        <v/>
      </c>
      <c r="J11" s="25">
        <f>IF(N(H11)&gt;0,I11/CPA_BE-1,"")</f>
        <v/>
      </c>
      <c r="K11" s="11">
        <f>IF(N(F11)&gt;0,SUMIFS(Registro!$I$2:$I$1501,Registro!$C$2:$C$1501,$A11,Registro!$B$2:$B$1501,"Test ABO")/F11,"")</f>
        <v/>
      </c>
      <c r="L11" s="10">
        <f>IF(N(F11)&gt;0,SUMIFS(Registro!$I$2:$I$1501,Registro!$C$2:$C$1501,$A11,Registro!$B$2:$B$1501,"Test ABO")*(1-COM-COM_SHOP)-F11*(1+IMP_META),"")</f>
        <v/>
      </c>
      <c r="M11" s="13">
        <f>IF(SUMIFS(Registro!$F$2:$F$1501,Registro!$C$2:$C$1501,$A11,Registro!$B$2:$B$1501,"Test ABO")&gt;0,SUMIFS(Registro!$G$2:$G$1501,Registro!$C$2:$C$1501,$A11,Registro!$B$2:$B$1501,"Test ABO")/SUMIFS(Registro!$F$2:$F$1501,Registro!$C$2:$C$1501,$A11,Registro!$B$2:$B$1501,"Test ABO"),"")</f>
        <v/>
      </c>
      <c r="N11" s="9">
        <f>IF($A11="","",IF(N(F11)=0,"Sin datos",IF(AND(H11&gt;=MIN_VENTAS,N(I11)&lt;=CPA_BE),"GANADOR → pasar a CBO",IF(AND(H11=0,F11&gt;=K_SIN_VENTA*CPA_BE),"APAGAR (sin ventas)",IF(AND(H11&gt;0,F11&gt;=K_CARO*CPA_BE,N(I11)&gt;CPA_BE*(1+TOL)),"APAGAR (CPA alto)",IF(AND(H11&gt;0,N(I11)&lt;=CPA_BE*(1+TOL)),"Prometedor / cerca del BE","Juntando datos"))))))</f>
        <v/>
      </c>
      <c r="O11" s="10">
        <f>IF($A11="","",SUMIFS(Registro!$E$2:$E$1501,Registro!$C$2:$C$1501,$A11,Registro!$B$2:$B$1501,"Escala CBO"))</f>
        <v/>
      </c>
      <c r="P11" s="12">
        <f>IF($A11="","",SUMIFS(Registro!$H$2:$H$1501,Registro!$C$2:$C$1501,$A11,Registro!$B$2:$B$1501,"Escala CBO"))</f>
        <v/>
      </c>
      <c r="Q11" s="10">
        <f>IF(N(P11)&gt;0,O11/P11,"")</f>
        <v/>
      </c>
      <c r="R11" s="11">
        <f>IF(N(O11)&gt;0,SUMIFS(Registro!$I$2:$I$1501,Registro!$C$2:$C$1501,$A11,Registro!$B$2:$B$1501,"Escala CBO")/O11,"")</f>
        <v/>
      </c>
      <c r="S11" s="10">
        <f>IF(N(O11)&gt;0,SUMIFS(Registro!$I$2:$I$1501,Registro!$C$2:$C$1501,$A11,Registro!$B$2:$B$1501,"Escala CBO")*(1-COM-COM_SHOP)-O11*(1+IMP_META),"")</f>
        <v/>
      </c>
      <c r="T11" s="9">
        <f>IF(N(O11)=0,"",IF(P11=0,IF(O11&gt;=K_SIN_VENTA*CPA_BE,"Sin ventas: revisar","Juntando datos"),IF(Q11&lt;=CPA_BE,"Rentable","No rentable")))</f>
        <v/>
      </c>
      <c r="U11" s="10">
        <f>IF($A11="","",N(L11)+N(S11))</f>
        <v/>
      </c>
    </row>
    <row r="12">
      <c r="A12" s="23" t="n"/>
      <c r="B12" s="23" t="n"/>
      <c r="C12" s="23" t="n"/>
      <c r="D12" s="18">
        <f>IF(COUNTIFS(Registro!$C$2:$C$1501,$A12)=0,"",_xlfn.MINIFS(Registro!$A$2:$A$1501,Registro!$C$2:$C$1501,$A12))</f>
        <v/>
      </c>
      <c r="E12" s="12">
        <f>IF($A12="","",COUNTIFS(Registro!$C$2:$C$1501,$A12,Registro!$E$2:$E$1501,"&gt;0"))</f>
        <v/>
      </c>
      <c r="F12" s="10">
        <f>IF($A12="","",SUMIFS(Registro!$E$2:$E$1501,Registro!$C$2:$C$1501,$A12,Registro!$B$2:$B$1501,"Test ABO"))</f>
        <v/>
      </c>
      <c r="G12" s="24">
        <f>IF($A12="","",F12/CPA_BE)</f>
        <v/>
      </c>
      <c r="H12" s="12">
        <f>IF($A12="","",SUMIFS(Registro!$H$2:$H$1501,Registro!$C$2:$C$1501,$A12,Registro!$B$2:$B$1501,"Test ABO"))</f>
        <v/>
      </c>
      <c r="I12" s="10">
        <f>IF(N(H12)&gt;0,F12/H12,"")</f>
        <v/>
      </c>
      <c r="J12" s="25">
        <f>IF(N(H12)&gt;0,I12/CPA_BE-1,"")</f>
        <v/>
      </c>
      <c r="K12" s="11">
        <f>IF(N(F12)&gt;0,SUMIFS(Registro!$I$2:$I$1501,Registro!$C$2:$C$1501,$A12,Registro!$B$2:$B$1501,"Test ABO")/F12,"")</f>
        <v/>
      </c>
      <c r="L12" s="10">
        <f>IF(N(F12)&gt;0,SUMIFS(Registro!$I$2:$I$1501,Registro!$C$2:$C$1501,$A12,Registro!$B$2:$B$1501,"Test ABO")*(1-COM-COM_SHOP)-F12*(1+IMP_META),"")</f>
        <v/>
      </c>
      <c r="M12" s="13">
        <f>IF(SUMIFS(Registro!$F$2:$F$1501,Registro!$C$2:$C$1501,$A12,Registro!$B$2:$B$1501,"Test ABO")&gt;0,SUMIFS(Registro!$G$2:$G$1501,Registro!$C$2:$C$1501,$A12,Registro!$B$2:$B$1501,"Test ABO")/SUMIFS(Registro!$F$2:$F$1501,Registro!$C$2:$C$1501,$A12,Registro!$B$2:$B$1501,"Test ABO"),"")</f>
        <v/>
      </c>
      <c r="N12" s="9">
        <f>IF($A12="","",IF(N(F12)=0,"Sin datos",IF(AND(H12&gt;=MIN_VENTAS,N(I12)&lt;=CPA_BE),"GANADOR → pasar a CBO",IF(AND(H12=0,F12&gt;=K_SIN_VENTA*CPA_BE),"APAGAR (sin ventas)",IF(AND(H12&gt;0,F12&gt;=K_CARO*CPA_BE,N(I12)&gt;CPA_BE*(1+TOL)),"APAGAR (CPA alto)",IF(AND(H12&gt;0,N(I12)&lt;=CPA_BE*(1+TOL)),"Prometedor / cerca del BE","Juntando datos"))))))</f>
        <v/>
      </c>
      <c r="O12" s="10">
        <f>IF($A12="","",SUMIFS(Registro!$E$2:$E$1501,Registro!$C$2:$C$1501,$A12,Registro!$B$2:$B$1501,"Escala CBO"))</f>
        <v/>
      </c>
      <c r="P12" s="12">
        <f>IF($A12="","",SUMIFS(Registro!$H$2:$H$1501,Registro!$C$2:$C$1501,$A12,Registro!$B$2:$B$1501,"Escala CBO"))</f>
        <v/>
      </c>
      <c r="Q12" s="10">
        <f>IF(N(P12)&gt;0,O12/P12,"")</f>
        <v/>
      </c>
      <c r="R12" s="11">
        <f>IF(N(O12)&gt;0,SUMIFS(Registro!$I$2:$I$1501,Registro!$C$2:$C$1501,$A12,Registro!$B$2:$B$1501,"Escala CBO")/O12,"")</f>
        <v/>
      </c>
      <c r="S12" s="10">
        <f>IF(N(O12)&gt;0,SUMIFS(Registro!$I$2:$I$1501,Registro!$C$2:$C$1501,$A12,Registro!$B$2:$B$1501,"Escala CBO")*(1-COM-COM_SHOP)-O12*(1+IMP_META),"")</f>
        <v/>
      </c>
      <c r="T12" s="9">
        <f>IF(N(O12)=0,"",IF(P12=0,IF(O12&gt;=K_SIN_VENTA*CPA_BE,"Sin ventas: revisar","Juntando datos"),IF(Q12&lt;=CPA_BE,"Rentable","No rentable")))</f>
        <v/>
      </c>
      <c r="U12" s="10">
        <f>IF($A12="","",N(L12)+N(S12))</f>
        <v/>
      </c>
    </row>
    <row r="13">
      <c r="A13" s="23" t="n"/>
      <c r="B13" s="23" t="n"/>
      <c r="C13" s="23" t="n"/>
      <c r="D13" s="18">
        <f>IF(COUNTIFS(Registro!$C$2:$C$1501,$A13)=0,"",_xlfn.MINIFS(Registro!$A$2:$A$1501,Registro!$C$2:$C$1501,$A13))</f>
        <v/>
      </c>
      <c r="E13" s="12">
        <f>IF($A13="","",COUNTIFS(Registro!$C$2:$C$1501,$A13,Registro!$E$2:$E$1501,"&gt;0"))</f>
        <v/>
      </c>
      <c r="F13" s="10">
        <f>IF($A13="","",SUMIFS(Registro!$E$2:$E$1501,Registro!$C$2:$C$1501,$A13,Registro!$B$2:$B$1501,"Test ABO"))</f>
        <v/>
      </c>
      <c r="G13" s="24">
        <f>IF($A13="","",F13/CPA_BE)</f>
        <v/>
      </c>
      <c r="H13" s="12">
        <f>IF($A13="","",SUMIFS(Registro!$H$2:$H$1501,Registro!$C$2:$C$1501,$A13,Registro!$B$2:$B$1501,"Test ABO"))</f>
        <v/>
      </c>
      <c r="I13" s="10">
        <f>IF(N(H13)&gt;0,F13/H13,"")</f>
        <v/>
      </c>
      <c r="J13" s="25">
        <f>IF(N(H13)&gt;0,I13/CPA_BE-1,"")</f>
        <v/>
      </c>
      <c r="K13" s="11">
        <f>IF(N(F13)&gt;0,SUMIFS(Registro!$I$2:$I$1501,Registro!$C$2:$C$1501,$A13,Registro!$B$2:$B$1501,"Test ABO")/F13,"")</f>
        <v/>
      </c>
      <c r="L13" s="10">
        <f>IF(N(F13)&gt;0,SUMIFS(Registro!$I$2:$I$1501,Registro!$C$2:$C$1501,$A13,Registro!$B$2:$B$1501,"Test ABO")*(1-COM-COM_SHOP)-F13*(1+IMP_META),"")</f>
        <v/>
      </c>
      <c r="M13" s="13">
        <f>IF(SUMIFS(Registro!$F$2:$F$1501,Registro!$C$2:$C$1501,$A13,Registro!$B$2:$B$1501,"Test ABO")&gt;0,SUMIFS(Registro!$G$2:$G$1501,Registro!$C$2:$C$1501,$A13,Registro!$B$2:$B$1501,"Test ABO")/SUMIFS(Registro!$F$2:$F$1501,Registro!$C$2:$C$1501,$A13,Registro!$B$2:$B$1501,"Test ABO"),"")</f>
        <v/>
      </c>
      <c r="N13" s="9">
        <f>IF($A13="","",IF(N(F13)=0,"Sin datos",IF(AND(H13&gt;=MIN_VENTAS,N(I13)&lt;=CPA_BE),"GANADOR → pasar a CBO",IF(AND(H13=0,F13&gt;=K_SIN_VENTA*CPA_BE),"APAGAR (sin ventas)",IF(AND(H13&gt;0,F13&gt;=K_CARO*CPA_BE,N(I13)&gt;CPA_BE*(1+TOL)),"APAGAR (CPA alto)",IF(AND(H13&gt;0,N(I13)&lt;=CPA_BE*(1+TOL)),"Prometedor / cerca del BE","Juntando datos"))))))</f>
        <v/>
      </c>
      <c r="O13" s="10">
        <f>IF($A13="","",SUMIFS(Registro!$E$2:$E$1501,Registro!$C$2:$C$1501,$A13,Registro!$B$2:$B$1501,"Escala CBO"))</f>
        <v/>
      </c>
      <c r="P13" s="12">
        <f>IF($A13="","",SUMIFS(Registro!$H$2:$H$1501,Registro!$C$2:$C$1501,$A13,Registro!$B$2:$B$1501,"Escala CBO"))</f>
        <v/>
      </c>
      <c r="Q13" s="10">
        <f>IF(N(P13)&gt;0,O13/P13,"")</f>
        <v/>
      </c>
      <c r="R13" s="11">
        <f>IF(N(O13)&gt;0,SUMIFS(Registro!$I$2:$I$1501,Registro!$C$2:$C$1501,$A13,Registro!$B$2:$B$1501,"Escala CBO")/O13,"")</f>
        <v/>
      </c>
      <c r="S13" s="10">
        <f>IF(N(O13)&gt;0,SUMIFS(Registro!$I$2:$I$1501,Registro!$C$2:$C$1501,$A13,Registro!$B$2:$B$1501,"Escala CBO")*(1-COM-COM_SHOP)-O13*(1+IMP_META),"")</f>
        <v/>
      </c>
      <c r="T13" s="9">
        <f>IF(N(O13)=0,"",IF(P13=0,IF(O13&gt;=K_SIN_VENTA*CPA_BE,"Sin ventas: revisar","Juntando datos"),IF(Q13&lt;=CPA_BE,"Rentable","No rentable")))</f>
        <v/>
      </c>
      <c r="U13" s="10">
        <f>IF($A13="","",N(L13)+N(S13))</f>
        <v/>
      </c>
    </row>
    <row r="14">
      <c r="A14" s="23" t="n"/>
      <c r="B14" s="23" t="n"/>
      <c r="C14" s="23" t="n"/>
      <c r="D14" s="18">
        <f>IF(COUNTIFS(Registro!$C$2:$C$1501,$A14)=0,"",_xlfn.MINIFS(Registro!$A$2:$A$1501,Registro!$C$2:$C$1501,$A14))</f>
        <v/>
      </c>
      <c r="E14" s="12">
        <f>IF($A14="","",COUNTIFS(Registro!$C$2:$C$1501,$A14,Registro!$E$2:$E$1501,"&gt;0"))</f>
        <v/>
      </c>
      <c r="F14" s="10">
        <f>IF($A14="","",SUMIFS(Registro!$E$2:$E$1501,Registro!$C$2:$C$1501,$A14,Registro!$B$2:$B$1501,"Test ABO"))</f>
        <v/>
      </c>
      <c r="G14" s="24">
        <f>IF($A14="","",F14/CPA_BE)</f>
        <v/>
      </c>
      <c r="H14" s="12">
        <f>IF($A14="","",SUMIFS(Registro!$H$2:$H$1501,Registro!$C$2:$C$1501,$A14,Registro!$B$2:$B$1501,"Test ABO"))</f>
        <v/>
      </c>
      <c r="I14" s="10">
        <f>IF(N(H14)&gt;0,F14/H14,"")</f>
        <v/>
      </c>
      <c r="J14" s="25">
        <f>IF(N(H14)&gt;0,I14/CPA_BE-1,"")</f>
        <v/>
      </c>
      <c r="K14" s="11">
        <f>IF(N(F14)&gt;0,SUMIFS(Registro!$I$2:$I$1501,Registro!$C$2:$C$1501,$A14,Registro!$B$2:$B$1501,"Test ABO")/F14,"")</f>
        <v/>
      </c>
      <c r="L14" s="10">
        <f>IF(N(F14)&gt;0,SUMIFS(Registro!$I$2:$I$1501,Registro!$C$2:$C$1501,$A14,Registro!$B$2:$B$1501,"Test ABO")*(1-COM-COM_SHOP)-F14*(1+IMP_META),"")</f>
        <v/>
      </c>
      <c r="M14" s="13">
        <f>IF(SUMIFS(Registro!$F$2:$F$1501,Registro!$C$2:$C$1501,$A14,Registro!$B$2:$B$1501,"Test ABO")&gt;0,SUMIFS(Registro!$G$2:$G$1501,Registro!$C$2:$C$1501,$A14,Registro!$B$2:$B$1501,"Test ABO")/SUMIFS(Registro!$F$2:$F$1501,Registro!$C$2:$C$1501,$A14,Registro!$B$2:$B$1501,"Test ABO"),"")</f>
        <v/>
      </c>
      <c r="N14" s="9">
        <f>IF($A14="","",IF(N(F14)=0,"Sin datos",IF(AND(H14&gt;=MIN_VENTAS,N(I14)&lt;=CPA_BE),"GANADOR → pasar a CBO",IF(AND(H14=0,F14&gt;=K_SIN_VENTA*CPA_BE),"APAGAR (sin ventas)",IF(AND(H14&gt;0,F14&gt;=K_CARO*CPA_BE,N(I14)&gt;CPA_BE*(1+TOL)),"APAGAR (CPA alto)",IF(AND(H14&gt;0,N(I14)&lt;=CPA_BE*(1+TOL)),"Prometedor / cerca del BE","Juntando datos"))))))</f>
        <v/>
      </c>
      <c r="O14" s="10">
        <f>IF($A14="","",SUMIFS(Registro!$E$2:$E$1501,Registro!$C$2:$C$1501,$A14,Registro!$B$2:$B$1501,"Escala CBO"))</f>
        <v/>
      </c>
      <c r="P14" s="12">
        <f>IF($A14="","",SUMIFS(Registro!$H$2:$H$1501,Registro!$C$2:$C$1501,$A14,Registro!$B$2:$B$1501,"Escala CBO"))</f>
        <v/>
      </c>
      <c r="Q14" s="10">
        <f>IF(N(P14)&gt;0,O14/P14,"")</f>
        <v/>
      </c>
      <c r="R14" s="11">
        <f>IF(N(O14)&gt;0,SUMIFS(Registro!$I$2:$I$1501,Registro!$C$2:$C$1501,$A14,Registro!$B$2:$B$1501,"Escala CBO")/O14,"")</f>
        <v/>
      </c>
      <c r="S14" s="10">
        <f>IF(N(O14)&gt;0,SUMIFS(Registro!$I$2:$I$1501,Registro!$C$2:$C$1501,$A14,Registro!$B$2:$B$1501,"Escala CBO")*(1-COM-COM_SHOP)-O14*(1+IMP_META),"")</f>
        <v/>
      </c>
      <c r="T14" s="9">
        <f>IF(N(O14)=0,"",IF(P14=0,IF(O14&gt;=K_SIN_VENTA*CPA_BE,"Sin ventas: revisar","Juntando datos"),IF(Q14&lt;=CPA_BE,"Rentable","No rentable")))</f>
        <v/>
      </c>
      <c r="U14" s="10">
        <f>IF($A14="","",N(L14)+N(S14))</f>
        <v/>
      </c>
    </row>
    <row r="15">
      <c r="A15" s="23" t="n"/>
      <c r="B15" s="23" t="n"/>
      <c r="C15" s="23" t="n"/>
      <c r="D15" s="18">
        <f>IF(COUNTIFS(Registro!$C$2:$C$1501,$A15)=0,"",_xlfn.MINIFS(Registro!$A$2:$A$1501,Registro!$C$2:$C$1501,$A15))</f>
        <v/>
      </c>
      <c r="E15" s="12">
        <f>IF($A15="","",COUNTIFS(Registro!$C$2:$C$1501,$A15,Registro!$E$2:$E$1501,"&gt;0"))</f>
        <v/>
      </c>
      <c r="F15" s="10">
        <f>IF($A15="","",SUMIFS(Registro!$E$2:$E$1501,Registro!$C$2:$C$1501,$A15,Registro!$B$2:$B$1501,"Test ABO"))</f>
        <v/>
      </c>
      <c r="G15" s="24">
        <f>IF($A15="","",F15/CPA_BE)</f>
        <v/>
      </c>
      <c r="H15" s="12">
        <f>IF($A15="","",SUMIFS(Registro!$H$2:$H$1501,Registro!$C$2:$C$1501,$A15,Registro!$B$2:$B$1501,"Test ABO"))</f>
        <v/>
      </c>
      <c r="I15" s="10">
        <f>IF(N(H15)&gt;0,F15/H15,"")</f>
        <v/>
      </c>
      <c r="J15" s="25">
        <f>IF(N(H15)&gt;0,I15/CPA_BE-1,"")</f>
        <v/>
      </c>
      <c r="K15" s="11">
        <f>IF(N(F15)&gt;0,SUMIFS(Registro!$I$2:$I$1501,Registro!$C$2:$C$1501,$A15,Registro!$B$2:$B$1501,"Test ABO")/F15,"")</f>
        <v/>
      </c>
      <c r="L15" s="10">
        <f>IF(N(F15)&gt;0,SUMIFS(Registro!$I$2:$I$1501,Registro!$C$2:$C$1501,$A15,Registro!$B$2:$B$1501,"Test ABO")*(1-COM-COM_SHOP)-F15*(1+IMP_META),"")</f>
        <v/>
      </c>
      <c r="M15" s="13">
        <f>IF(SUMIFS(Registro!$F$2:$F$1501,Registro!$C$2:$C$1501,$A15,Registro!$B$2:$B$1501,"Test ABO")&gt;0,SUMIFS(Registro!$G$2:$G$1501,Registro!$C$2:$C$1501,$A15,Registro!$B$2:$B$1501,"Test ABO")/SUMIFS(Registro!$F$2:$F$1501,Registro!$C$2:$C$1501,$A15,Registro!$B$2:$B$1501,"Test ABO"),"")</f>
        <v/>
      </c>
      <c r="N15" s="9">
        <f>IF($A15="","",IF(N(F15)=0,"Sin datos",IF(AND(H15&gt;=MIN_VENTAS,N(I15)&lt;=CPA_BE),"GANADOR → pasar a CBO",IF(AND(H15=0,F15&gt;=K_SIN_VENTA*CPA_BE),"APAGAR (sin ventas)",IF(AND(H15&gt;0,F15&gt;=K_CARO*CPA_BE,N(I15)&gt;CPA_BE*(1+TOL)),"APAGAR (CPA alto)",IF(AND(H15&gt;0,N(I15)&lt;=CPA_BE*(1+TOL)),"Prometedor / cerca del BE","Juntando datos"))))))</f>
        <v/>
      </c>
      <c r="O15" s="10">
        <f>IF($A15="","",SUMIFS(Registro!$E$2:$E$1501,Registro!$C$2:$C$1501,$A15,Registro!$B$2:$B$1501,"Escala CBO"))</f>
        <v/>
      </c>
      <c r="P15" s="12">
        <f>IF($A15="","",SUMIFS(Registro!$H$2:$H$1501,Registro!$C$2:$C$1501,$A15,Registro!$B$2:$B$1501,"Escala CBO"))</f>
        <v/>
      </c>
      <c r="Q15" s="10">
        <f>IF(N(P15)&gt;0,O15/P15,"")</f>
        <v/>
      </c>
      <c r="R15" s="11">
        <f>IF(N(O15)&gt;0,SUMIFS(Registro!$I$2:$I$1501,Registro!$C$2:$C$1501,$A15,Registro!$B$2:$B$1501,"Escala CBO")/O15,"")</f>
        <v/>
      </c>
      <c r="S15" s="10">
        <f>IF(N(O15)&gt;0,SUMIFS(Registro!$I$2:$I$1501,Registro!$C$2:$C$1501,$A15,Registro!$B$2:$B$1501,"Escala CBO")*(1-COM-COM_SHOP)-O15*(1+IMP_META),"")</f>
        <v/>
      </c>
      <c r="T15" s="9">
        <f>IF(N(O15)=0,"",IF(P15=0,IF(O15&gt;=K_SIN_VENTA*CPA_BE,"Sin ventas: revisar","Juntando datos"),IF(Q15&lt;=CPA_BE,"Rentable","No rentable")))</f>
        <v/>
      </c>
      <c r="U15" s="10">
        <f>IF($A15="","",N(L15)+N(S15))</f>
        <v/>
      </c>
    </row>
    <row r="16">
      <c r="A16" s="23" t="n"/>
      <c r="B16" s="23" t="n"/>
      <c r="C16" s="23" t="n"/>
      <c r="D16" s="18">
        <f>IF(COUNTIFS(Registro!$C$2:$C$1501,$A16)=0,"",_xlfn.MINIFS(Registro!$A$2:$A$1501,Registro!$C$2:$C$1501,$A16))</f>
        <v/>
      </c>
      <c r="E16" s="12">
        <f>IF($A16="","",COUNTIFS(Registro!$C$2:$C$1501,$A16,Registro!$E$2:$E$1501,"&gt;0"))</f>
        <v/>
      </c>
      <c r="F16" s="10">
        <f>IF($A16="","",SUMIFS(Registro!$E$2:$E$1501,Registro!$C$2:$C$1501,$A16,Registro!$B$2:$B$1501,"Test ABO"))</f>
        <v/>
      </c>
      <c r="G16" s="24">
        <f>IF($A16="","",F16/CPA_BE)</f>
        <v/>
      </c>
      <c r="H16" s="12">
        <f>IF($A16="","",SUMIFS(Registro!$H$2:$H$1501,Registro!$C$2:$C$1501,$A16,Registro!$B$2:$B$1501,"Test ABO"))</f>
        <v/>
      </c>
      <c r="I16" s="10">
        <f>IF(N(H16)&gt;0,F16/H16,"")</f>
        <v/>
      </c>
      <c r="J16" s="25">
        <f>IF(N(H16)&gt;0,I16/CPA_BE-1,"")</f>
        <v/>
      </c>
      <c r="K16" s="11">
        <f>IF(N(F16)&gt;0,SUMIFS(Registro!$I$2:$I$1501,Registro!$C$2:$C$1501,$A16,Registro!$B$2:$B$1501,"Test ABO")/F16,"")</f>
        <v/>
      </c>
      <c r="L16" s="10">
        <f>IF(N(F16)&gt;0,SUMIFS(Registro!$I$2:$I$1501,Registro!$C$2:$C$1501,$A16,Registro!$B$2:$B$1501,"Test ABO")*(1-COM-COM_SHOP)-F16*(1+IMP_META),"")</f>
        <v/>
      </c>
      <c r="M16" s="13">
        <f>IF(SUMIFS(Registro!$F$2:$F$1501,Registro!$C$2:$C$1501,$A16,Registro!$B$2:$B$1501,"Test ABO")&gt;0,SUMIFS(Registro!$G$2:$G$1501,Registro!$C$2:$C$1501,$A16,Registro!$B$2:$B$1501,"Test ABO")/SUMIFS(Registro!$F$2:$F$1501,Registro!$C$2:$C$1501,$A16,Registro!$B$2:$B$1501,"Test ABO"),"")</f>
        <v/>
      </c>
      <c r="N16" s="9">
        <f>IF($A16="","",IF(N(F16)=0,"Sin datos",IF(AND(H16&gt;=MIN_VENTAS,N(I16)&lt;=CPA_BE),"GANADOR → pasar a CBO",IF(AND(H16=0,F16&gt;=K_SIN_VENTA*CPA_BE),"APAGAR (sin ventas)",IF(AND(H16&gt;0,F16&gt;=K_CARO*CPA_BE,N(I16)&gt;CPA_BE*(1+TOL)),"APAGAR (CPA alto)",IF(AND(H16&gt;0,N(I16)&lt;=CPA_BE*(1+TOL)),"Prometedor / cerca del BE","Juntando datos"))))))</f>
        <v/>
      </c>
      <c r="O16" s="10">
        <f>IF($A16="","",SUMIFS(Registro!$E$2:$E$1501,Registro!$C$2:$C$1501,$A16,Registro!$B$2:$B$1501,"Escala CBO"))</f>
        <v/>
      </c>
      <c r="P16" s="12">
        <f>IF($A16="","",SUMIFS(Registro!$H$2:$H$1501,Registro!$C$2:$C$1501,$A16,Registro!$B$2:$B$1501,"Escala CBO"))</f>
        <v/>
      </c>
      <c r="Q16" s="10">
        <f>IF(N(P16)&gt;0,O16/P16,"")</f>
        <v/>
      </c>
      <c r="R16" s="11">
        <f>IF(N(O16)&gt;0,SUMIFS(Registro!$I$2:$I$1501,Registro!$C$2:$C$1501,$A16,Registro!$B$2:$B$1501,"Escala CBO")/O16,"")</f>
        <v/>
      </c>
      <c r="S16" s="10">
        <f>IF(N(O16)&gt;0,SUMIFS(Registro!$I$2:$I$1501,Registro!$C$2:$C$1501,$A16,Registro!$B$2:$B$1501,"Escala CBO")*(1-COM-COM_SHOP)-O16*(1+IMP_META),"")</f>
        <v/>
      </c>
      <c r="T16" s="9">
        <f>IF(N(O16)=0,"",IF(P16=0,IF(O16&gt;=K_SIN_VENTA*CPA_BE,"Sin ventas: revisar","Juntando datos"),IF(Q16&lt;=CPA_BE,"Rentable","No rentable")))</f>
        <v/>
      </c>
      <c r="U16" s="10">
        <f>IF($A16="","",N(L16)+N(S16))</f>
        <v/>
      </c>
    </row>
    <row r="17">
      <c r="A17" s="23" t="n"/>
      <c r="B17" s="23" t="n"/>
      <c r="C17" s="23" t="n"/>
      <c r="D17" s="18">
        <f>IF(COUNTIFS(Registro!$C$2:$C$1501,$A17)=0,"",_xlfn.MINIFS(Registro!$A$2:$A$1501,Registro!$C$2:$C$1501,$A17))</f>
        <v/>
      </c>
      <c r="E17" s="12">
        <f>IF($A17="","",COUNTIFS(Registro!$C$2:$C$1501,$A17,Registro!$E$2:$E$1501,"&gt;0"))</f>
        <v/>
      </c>
      <c r="F17" s="10">
        <f>IF($A17="","",SUMIFS(Registro!$E$2:$E$1501,Registro!$C$2:$C$1501,$A17,Registro!$B$2:$B$1501,"Test ABO"))</f>
        <v/>
      </c>
      <c r="G17" s="24">
        <f>IF($A17="","",F17/CPA_BE)</f>
        <v/>
      </c>
      <c r="H17" s="12">
        <f>IF($A17="","",SUMIFS(Registro!$H$2:$H$1501,Registro!$C$2:$C$1501,$A17,Registro!$B$2:$B$1501,"Test ABO"))</f>
        <v/>
      </c>
      <c r="I17" s="10">
        <f>IF(N(H17)&gt;0,F17/H17,"")</f>
        <v/>
      </c>
      <c r="J17" s="25">
        <f>IF(N(H17)&gt;0,I17/CPA_BE-1,"")</f>
        <v/>
      </c>
      <c r="K17" s="11">
        <f>IF(N(F17)&gt;0,SUMIFS(Registro!$I$2:$I$1501,Registro!$C$2:$C$1501,$A17,Registro!$B$2:$B$1501,"Test ABO")/F17,"")</f>
        <v/>
      </c>
      <c r="L17" s="10">
        <f>IF(N(F17)&gt;0,SUMIFS(Registro!$I$2:$I$1501,Registro!$C$2:$C$1501,$A17,Registro!$B$2:$B$1501,"Test ABO")*(1-COM-COM_SHOP)-F17*(1+IMP_META),"")</f>
        <v/>
      </c>
      <c r="M17" s="13">
        <f>IF(SUMIFS(Registro!$F$2:$F$1501,Registro!$C$2:$C$1501,$A17,Registro!$B$2:$B$1501,"Test ABO")&gt;0,SUMIFS(Registro!$G$2:$G$1501,Registro!$C$2:$C$1501,$A17,Registro!$B$2:$B$1501,"Test ABO")/SUMIFS(Registro!$F$2:$F$1501,Registro!$C$2:$C$1501,$A17,Registro!$B$2:$B$1501,"Test ABO"),"")</f>
        <v/>
      </c>
      <c r="N17" s="9">
        <f>IF($A17="","",IF(N(F17)=0,"Sin datos",IF(AND(H17&gt;=MIN_VENTAS,N(I17)&lt;=CPA_BE),"GANADOR → pasar a CBO",IF(AND(H17=0,F17&gt;=K_SIN_VENTA*CPA_BE),"APAGAR (sin ventas)",IF(AND(H17&gt;0,F17&gt;=K_CARO*CPA_BE,N(I17)&gt;CPA_BE*(1+TOL)),"APAGAR (CPA alto)",IF(AND(H17&gt;0,N(I17)&lt;=CPA_BE*(1+TOL)),"Prometedor / cerca del BE","Juntando datos"))))))</f>
        <v/>
      </c>
      <c r="O17" s="10">
        <f>IF($A17="","",SUMIFS(Registro!$E$2:$E$1501,Registro!$C$2:$C$1501,$A17,Registro!$B$2:$B$1501,"Escala CBO"))</f>
        <v/>
      </c>
      <c r="P17" s="12">
        <f>IF($A17="","",SUMIFS(Registro!$H$2:$H$1501,Registro!$C$2:$C$1501,$A17,Registro!$B$2:$B$1501,"Escala CBO"))</f>
        <v/>
      </c>
      <c r="Q17" s="10">
        <f>IF(N(P17)&gt;0,O17/P17,"")</f>
        <v/>
      </c>
      <c r="R17" s="11">
        <f>IF(N(O17)&gt;0,SUMIFS(Registro!$I$2:$I$1501,Registro!$C$2:$C$1501,$A17,Registro!$B$2:$B$1501,"Escala CBO")/O17,"")</f>
        <v/>
      </c>
      <c r="S17" s="10">
        <f>IF(N(O17)&gt;0,SUMIFS(Registro!$I$2:$I$1501,Registro!$C$2:$C$1501,$A17,Registro!$B$2:$B$1501,"Escala CBO")*(1-COM-COM_SHOP)-O17*(1+IMP_META),"")</f>
        <v/>
      </c>
      <c r="T17" s="9">
        <f>IF(N(O17)=0,"",IF(P17=0,IF(O17&gt;=K_SIN_VENTA*CPA_BE,"Sin ventas: revisar","Juntando datos"),IF(Q17&lt;=CPA_BE,"Rentable","No rentable")))</f>
        <v/>
      </c>
      <c r="U17" s="10">
        <f>IF($A17="","",N(L17)+N(S17))</f>
        <v/>
      </c>
    </row>
    <row r="18">
      <c r="A18" s="23" t="n"/>
      <c r="B18" s="23" t="n"/>
      <c r="C18" s="23" t="n"/>
      <c r="D18" s="18">
        <f>IF(COUNTIFS(Registro!$C$2:$C$1501,$A18)=0,"",_xlfn.MINIFS(Registro!$A$2:$A$1501,Registro!$C$2:$C$1501,$A18))</f>
        <v/>
      </c>
      <c r="E18" s="12">
        <f>IF($A18="","",COUNTIFS(Registro!$C$2:$C$1501,$A18,Registro!$E$2:$E$1501,"&gt;0"))</f>
        <v/>
      </c>
      <c r="F18" s="10">
        <f>IF($A18="","",SUMIFS(Registro!$E$2:$E$1501,Registro!$C$2:$C$1501,$A18,Registro!$B$2:$B$1501,"Test ABO"))</f>
        <v/>
      </c>
      <c r="G18" s="24">
        <f>IF($A18="","",F18/CPA_BE)</f>
        <v/>
      </c>
      <c r="H18" s="12">
        <f>IF($A18="","",SUMIFS(Registro!$H$2:$H$1501,Registro!$C$2:$C$1501,$A18,Registro!$B$2:$B$1501,"Test ABO"))</f>
        <v/>
      </c>
      <c r="I18" s="10">
        <f>IF(N(H18)&gt;0,F18/H18,"")</f>
        <v/>
      </c>
      <c r="J18" s="25">
        <f>IF(N(H18)&gt;0,I18/CPA_BE-1,"")</f>
        <v/>
      </c>
      <c r="K18" s="11">
        <f>IF(N(F18)&gt;0,SUMIFS(Registro!$I$2:$I$1501,Registro!$C$2:$C$1501,$A18,Registro!$B$2:$B$1501,"Test ABO")/F18,"")</f>
        <v/>
      </c>
      <c r="L18" s="10">
        <f>IF(N(F18)&gt;0,SUMIFS(Registro!$I$2:$I$1501,Registro!$C$2:$C$1501,$A18,Registro!$B$2:$B$1501,"Test ABO")*(1-COM-COM_SHOP)-F18*(1+IMP_META),"")</f>
        <v/>
      </c>
      <c r="M18" s="13">
        <f>IF(SUMIFS(Registro!$F$2:$F$1501,Registro!$C$2:$C$1501,$A18,Registro!$B$2:$B$1501,"Test ABO")&gt;0,SUMIFS(Registro!$G$2:$G$1501,Registro!$C$2:$C$1501,$A18,Registro!$B$2:$B$1501,"Test ABO")/SUMIFS(Registro!$F$2:$F$1501,Registro!$C$2:$C$1501,$A18,Registro!$B$2:$B$1501,"Test ABO"),"")</f>
        <v/>
      </c>
      <c r="N18" s="9">
        <f>IF($A18="","",IF(N(F18)=0,"Sin datos",IF(AND(H18&gt;=MIN_VENTAS,N(I18)&lt;=CPA_BE),"GANADOR → pasar a CBO",IF(AND(H18=0,F18&gt;=K_SIN_VENTA*CPA_BE),"APAGAR (sin ventas)",IF(AND(H18&gt;0,F18&gt;=K_CARO*CPA_BE,N(I18)&gt;CPA_BE*(1+TOL)),"APAGAR (CPA alto)",IF(AND(H18&gt;0,N(I18)&lt;=CPA_BE*(1+TOL)),"Prometedor / cerca del BE","Juntando datos"))))))</f>
        <v/>
      </c>
      <c r="O18" s="10">
        <f>IF($A18="","",SUMIFS(Registro!$E$2:$E$1501,Registro!$C$2:$C$1501,$A18,Registro!$B$2:$B$1501,"Escala CBO"))</f>
        <v/>
      </c>
      <c r="P18" s="12">
        <f>IF($A18="","",SUMIFS(Registro!$H$2:$H$1501,Registro!$C$2:$C$1501,$A18,Registro!$B$2:$B$1501,"Escala CBO"))</f>
        <v/>
      </c>
      <c r="Q18" s="10">
        <f>IF(N(P18)&gt;0,O18/P18,"")</f>
        <v/>
      </c>
      <c r="R18" s="11">
        <f>IF(N(O18)&gt;0,SUMIFS(Registro!$I$2:$I$1501,Registro!$C$2:$C$1501,$A18,Registro!$B$2:$B$1501,"Escala CBO")/O18,"")</f>
        <v/>
      </c>
      <c r="S18" s="10">
        <f>IF(N(O18)&gt;0,SUMIFS(Registro!$I$2:$I$1501,Registro!$C$2:$C$1501,$A18,Registro!$B$2:$B$1501,"Escala CBO")*(1-COM-COM_SHOP)-O18*(1+IMP_META),"")</f>
        <v/>
      </c>
      <c r="T18" s="9">
        <f>IF(N(O18)=0,"",IF(P18=0,IF(O18&gt;=K_SIN_VENTA*CPA_BE,"Sin ventas: revisar","Juntando datos"),IF(Q18&lt;=CPA_BE,"Rentable","No rentable")))</f>
        <v/>
      </c>
      <c r="U18" s="10">
        <f>IF($A18="","",N(L18)+N(S18))</f>
        <v/>
      </c>
    </row>
    <row r="19">
      <c r="A19" s="23" t="n"/>
      <c r="B19" s="23" t="n"/>
      <c r="C19" s="23" t="n"/>
      <c r="D19" s="18">
        <f>IF(COUNTIFS(Registro!$C$2:$C$1501,$A19)=0,"",_xlfn.MINIFS(Registro!$A$2:$A$1501,Registro!$C$2:$C$1501,$A19))</f>
        <v/>
      </c>
      <c r="E19" s="12">
        <f>IF($A19="","",COUNTIFS(Registro!$C$2:$C$1501,$A19,Registro!$E$2:$E$1501,"&gt;0"))</f>
        <v/>
      </c>
      <c r="F19" s="10">
        <f>IF($A19="","",SUMIFS(Registro!$E$2:$E$1501,Registro!$C$2:$C$1501,$A19,Registro!$B$2:$B$1501,"Test ABO"))</f>
        <v/>
      </c>
      <c r="G19" s="24">
        <f>IF($A19="","",F19/CPA_BE)</f>
        <v/>
      </c>
      <c r="H19" s="12">
        <f>IF($A19="","",SUMIFS(Registro!$H$2:$H$1501,Registro!$C$2:$C$1501,$A19,Registro!$B$2:$B$1501,"Test ABO"))</f>
        <v/>
      </c>
      <c r="I19" s="10">
        <f>IF(N(H19)&gt;0,F19/H19,"")</f>
        <v/>
      </c>
      <c r="J19" s="25">
        <f>IF(N(H19)&gt;0,I19/CPA_BE-1,"")</f>
        <v/>
      </c>
      <c r="K19" s="11">
        <f>IF(N(F19)&gt;0,SUMIFS(Registro!$I$2:$I$1501,Registro!$C$2:$C$1501,$A19,Registro!$B$2:$B$1501,"Test ABO")/F19,"")</f>
        <v/>
      </c>
      <c r="L19" s="10">
        <f>IF(N(F19)&gt;0,SUMIFS(Registro!$I$2:$I$1501,Registro!$C$2:$C$1501,$A19,Registro!$B$2:$B$1501,"Test ABO")*(1-COM-COM_SHOP)-F19*(1+IMP_META),"")</f>
        <v/>
      </c>
      <c r="M19" s="13">
        <f>IF(SUMIFS(Registro!$F$2:$F$1501,Registro!$C$2:$C$1501,$A19,Registro!$B$2:$B$1501,"Test ABO")&gt;0,SUMIFS(Registro!$G$2:$G$1501,Registro!$C$2:$C$1501,$A19,Registro!$B$2:$B$1501,"Test ABO")/SUMIFS(Registro!$F$2:$F$1501,Registro!$C$2:$C$1501,$A19,Registro!$B$2:$B$1501,"Test ABO"),"")</f>
        <v/>
      </c>
      <c r="N19" s="9">
        <f>IF($A19="","",IF(N(F19)=0,"Sin datos",IF(AND(H19&gt;=MIN_VENTAS,N(I19)&lt;=CPA_BE),"GANADOR → pasar a CBO",IF(AND(H19=0,F19&gt;=K_SIN_VENTA*CPA_BE),"APAGAR (sin ventas)",IF(AND(H19&gt;0,F19&gt;=K_CARO*CPA_BE,N(I19)&gt;CPA_BE*(1+TOL)),"APAGAR (CPA alto)",IF(AND(H19&gt;0,N(I19)&lt;=CPA_BE*(1+TOL)),"Prometedor / cerca del BE","Juntando datos"))))))</f>
        <v/>
      </c>
      <c r="O19" s="10">
        <f>IF($A19="","",SUMIFS(Registro!$E$2:$E$1501,Registro!$C$2:$C$1501,$A19,Registro!$B$2:$B$1501,"Escala CBO"))</f>
        <v/>
      </c>
      <c r="P19" s="12">
        <f>IF($A19="","",SUMIFS(Registro!$H$2:$H$1501,Registro!$C$2:$C$1501,$A19,Registro!$B$2:$B$1501,"Escala CBO"))</f>
        <v/>
      </c>
      <c r="Q19" s="10">
        <f>IF(N(P19)&gt;0,O19/P19,"")</f>
        <v/>
      </c>
      <c r="R19" s="11">
        <f>IF(N(O19)&gt;0,SUMIFS(Registro!$I$2:$I$1501,Registro!$C$2:$C$1501,$A19,Registro!$B$2:$B$1501,"Escala CBO")/O19,"")</f>
        <v/>
      </c>
      <c r="S19" s="10">
        <f>IF(N(O19)&gt;0,SUMIFS(Registro!$I$2:$I$1501,Registro!$C$2:$C$1501,$A19,Registro!$B$2:$B$1501,"Escala CBO")*(1-COM-COM_SHOP)-O19*(1+IMP_META),"")</f>
        <v/>
      </c>
      <c r="T19" s="9">
        <f>IF(N(O19)=0,"",IF(P19=0,IF(O19&gt;=K_SIN_VENTA*CPA_BE,"Sin ventas: revisar","Juntando datos"),IF(Q19&lt;=CPA_BE,"Rentable","No rentable")))</f>
        <v/>
      </c>
      <c r="U19" s="10">
        <f>IF($A19="","",N(L19)+N(S19))</f>
        <v/>
      </c>
    </row>
    <row r="20">
      <c r="A20" s="23" t="n"/>
      <c r="B20" s="23" t="n"/>
      <c r="C20" s="23" t="n"/>
      <c r="D20" s="18">
        <f>IF(COUNTIFS(Registro!$C$2:$C$1501,$A20)=0,"",_xlfn.MINIFS(Registro!$A$2:$A$1501,Registro!$C$2:$C$1501,$A20))</f>
        <v/>
      </c>
      <c r="E20" s="12">
        <f>IF($A20="","",COUNTIFS(Registro!$C$2:$C$1501,$A20,Registro!$E$2:$E$1501,"&gt;0"))</f>
        <v/>
      </c>
      <c r="F20" s="10">
        <f>IF($A20="","",SUMIFS(Registro!$E$2:$E$1501,Registro!$C$2:$C$1501,$A20,Registro!$B$2:$B$1501,"Test ABO"))</f>
        <v/>
      </c>
      <c r="G20" s="24">
        <f>IF($A20="","",F20/CPA_BE)</f>
        <v/>
      </c>
      <c r="H20" s="12">
        <f>IF($A20="","",SUMIFS(Registro!$H$2:$H$1501,Registro!$C$2:$C$1501,$A20,Registro!$B$2:$B$1501,"Test ABO"))</f>
        <v/>
      </c>
      <c r="I20" s="10">
        <f>IF(N(H20)&gt;0,F20/H20,"")</f>
        <v/>
      </c>
      <c r="J20" s="25">
        <f>IF(N(H20)&gt;0,I20/CPA_BE-1,"")</f>
        <v/>
      </c>
      <c r="K20" s="11">
        <f>IF(N(F20)&gt;0,SUMIFS(Registro!$I$2:$I$1501,Registro!$C$2:$C$1501,$A20,Registro!$B$2:$B$1501,"Test ABO")/F20,"")</f>
        <v/>
      </c>
      <c r="L20" s="10">
        <f>IF(N(F20)&gt;0,SUMIFS(Registro!$I$2:$I$1501,Registro!$C$2:$C$1501,$A20,Registro!$B$2:$B$1501,"Test ABO")*(1-COM-COM_SHOP)-F20*(1+IMP_META),"")</f>
        <v/>
      </c>
      <c r="M20" s="13">
        <f>IF(SUMIFS(Registro!$F$2:$F$1501,Registro!$C$2:$C$1501,$A20,Registro!$B$2:$B$1501,"Test ABO")&gt;0,SUMIFS(Registro!$G$2:$G$1501,Registro!$C$2:$C$1501,$A20,Registro!$B$2:$B$1501,"Test ABO")/SUMIFS(Registro!$F$2:$F$1501,Registro!$C$2:$C$1501,$A20,Registro!$B$2:$B$1501,"Test ABO"),"")</f>
        <v/>
      </c>
      <c r="N20" s="9">
        <f>IF($A20="","",IF(N(F20)=0,"Sin datos",IF(AND(H20&gt;=MIN_VENTAS,N(I20)&lt;=CPA_BE),"GANADOR → pasar a CBO",IF(AND(H20=0,F20&gt;=K_SIN_VENTA*CPA_BE),"APAGAR (sin ventas)",IF(AND(H20&gt;0,F20&gt;=K_CARO*CPA_BE,N(I20)&gt;CPA_BE*(1+TOL)),"APAGAR (CPA alto)",IF(AND(H20&gt;0,N(I20)&lt;=CPA_BE*(1+TOL)),"Prometedor / cerca del BE","Juntando datos"))))))</f>
        <v/>
      </c>
      <c r="O20" s="10">
        <f>IF($A20="","",SUMIFS(Registro!$E$2:$E$1501,Registro!$C$2:$C$1501,$A20,Registro!$B$2:$B$1501,"Escala CBO"))</f>
        <v/>
      </c>
      <c r="P20" s="12">
        <f>IF($A20="","",SUMIFS(Registro!$H$2:$H$1501,Registro!$C$2:$C$1501,$A20,Registro!$B$2:$B$1501,"Escala CBO"))</f>
        <v/>
      </c>
      <c r="Q20" s="10">
        <f>IF(N(P20)&gt;0,O20/P20,"")</f>
        <v/>
      </c>
      <c r="R20" s="11">
        <f>IF(N(O20)&gt;0,SUMIFS(Registro!$I$2:$I$1501,Registro!$C$2:$C$1501,$A20,Registro!$B$2:$B$1501,"Escala CBO")/O20,"")</f>
        <v/>
      </c>
      <c r="S20" s="10">
        <f>IF(N(O20)&gt;0,SUMIFS(Registro!$I$2:$I$1501,Registro!$C$2:$C$1501,$A20,Registro!$B$2:$B$1501,"Escala CBO")*(1-COM-COM_SHOP)-O20*(1+IMP_META),"")</f>
        <v/>
      </c>
      <c r="T20" s="9">
        <f>IF(N(O20)=0,"",IF(P20=0,IF(O20&gt;=K_SIN_VENTA*CPA_BE,"Sin ventas: revisar","Juntando datos"),IF(Q20&lt;=CPA_BE,"Rentable","No rentable")))</f>
        <v/>
      </c>
      <c r="U20" s="10">
        <f>IF($A20="","",N(L20)+N(S20))</f>
        <v/>
      </c>
    </row>
    <row r="21">
      <c r="A21" s="23" t="n"/>
      <c r="B21" s="23" t="n"/>
      <c r="C21" s="23" t="n"/>
      <c r="D21" s="18">
        <f>IF(COUNTIFS(Registro!$C$2:$C$1501,$A21)=0,"",_xlfn.MINIFS(Registro!$A$2:$A$1501,Registro!$C$2:$C$1501,$A21))</f>
        <v/>
      </c>
      <c r="E21" s="12">
        <f>IF($A21="","",COUNTIFS(Registro!$C$2:$C$1501,$A21,Registro!$E$2:$E$1501,"&gt;0"))</f>
        <v/>
      </c>
      <c r="F21" s="10">
        <f>IF($A21="","",SUMIFS(Registro!$E$2:$E$1501,Registro!$C$2:$C$1501,$A21,Registro!$B$2:$B$1501,"Test ABO"))</f>
        <v/>
      </c>
      <c r="G21" s="24">
        <f>IF($A21="","",F21/CPA_BE)</f>
        <v/>
      </c>
      <c r="H21" s="12">
        <f>IF($A21="","",SUMIFS(Registro!$H$2:$H$1501,Registro!$C$2:$C$1501,$A21,Registro!$B$2:$B$1501,"Test ABO"))</f>
        <v/>
      </c>
      <c r="I21" s="10">
        <f>IF(N(H21)&gt;0,F21/H21,"")</f>
        <v/>
      </c>
      <c r="J21" s="25">
        <f>IF(N(H21)&gt;0,I21/CPA_BE-1,"")</f>
        <v/>
      </c>
      <c r="K21" s="11">
        <f>IF(N(F21)&gt;0,SUMIFS(Registro!$I$2:$I$1501,Registro!$C$2:$C$1501,$A21,Registro!$B$2:$B$1501,"Test ABO")/F21,"")</f>
        <v/>
      </c>
      <c r="L21" s="10">
        <f>IF(N(F21)&gt;0,SUMIFS(Registro!$I$2:$I$1501,Registro!$C$2:$C$1501,$A21,Registro!$B$2:$B$1501,"Test ABO")*(1-COM-COM_SHOP)-F21*(1+IMP_META),"")</f>
        <v/>
      </c>
      <c r="M21" s="13">
        <f>IF(SUMIFS(Registro!$F$2:$F$1501,Registro!$C$2:$C$1501,$A21,Registro!$B$2:$B$1501,"Test ABO")&gt;0,SUMIFS(Registro!$G$2:$G$1501,Registro!$C$2:$C$1501,$A21,Registro!$B$2:$B$1501,"Test ABO")/SUMIFS(Registro!$F$2:$F$1501,Registro!$C$2:$C$1501,$A21,Registro!$B$2:$B$1501,"Test ABO"),"")</f>
        <v/>
      </c>
      <c r="N21" s="9">
        <f>IF($A21="","",IF(N(F21)=0,"Sin datos",IF(AND(H21&gt;=MIN_VENTAS,N(I21)&lt;=CPA_BE),"GANADOR → pasar a CBO",IF(AND(H21=0,F21&gt;=K_SIN_VENTA*CPA_BE),"APAGAR (sin ventas)",IF(AND(H21&gt;0,F21&gt;=K_CARO*CPA_BE,N(I21)&gt;CPA_BE*(1+TOL)),"APAGAR (CPA alto)",IF(AND(H21&gt;0,N(I21)&lt;=CPA_BE*(1+TOL)),"Prometedor / cerca del BE","Juntando datos"))))))</f>
        <v/>
      </c>
      <c r="O21" s="10">
        <f>IF($A21="","",SUMIFS(Registro!$E$2:$E$1501,Registro!$C$2:$C$1501,$A21,Registro!$B$2:$B$1501,"Escala CBO"))</f>
        <v/>
      </c>
      <c r="P21" s="12">
        <f>IF($A21="","",SUMIFS(Registro!$H$2:$H$1501,Registro!$C$2:$C$1501,$A21,Registro!$B$2:$B$1501,"Escala CBO"))</f>
        <v/>
      </c>
      <c r="Q21" s="10">
        <f>IF(N(P21)&gt;0,O21/P21,"")</f>
        <v/>
      </c>
      <c r="R21" s="11">
        <f>IF(N(O21)&gt;0,SUMIFS(Registro!$I$2:$I$1501,Registro!$C$2:$C$1501,$A21,Registro!$B$2:$B$1501,"Escala CBO")/O21,"")</f>
        <v/>
      </c>
      <c r="S21" s="10">
        <f>IF(N(O21)&gt;0,SUMIFS(Registro!$I$2:$I$1501,Registro!$C$2:$C$1501,$A21,Registro!$B$2:$B$1501,"Escala CBO")*(1-COM-COM_SHOP)-O21*(1+IMP_META),"")</f>
        <v/>
      </c>
      <c r="T21" s="9">
        <f>IF(N(O21)=0,"",IF(P21=0,IF(O21&gt;=K_SIN_VENTA*CPA_BE,"Sin ventas: revisar","Juntando datos"),IF(Q21&lt;=CPA_BE,"Rentable","No rentable")))</f>
        <v/>
      </c>
      <c r="U21" s="10">
        <f>IF($A21="","",N(L21)+N(S21))</f>
        <v/>
      </c>
    </row>
    <row r="22">
      <c r="A22" s="23" t="n"/>
      <c r="B22" s="23" t="n"/>
      <c r="C22" s="23" t="n"/>
      <c r="D22" s="18">
        <f>IF(COUNTIFS(Registro!$C$2:$C$1501,$A22)=0,"",_xlfn.MINIFS(Registro!$A$2:$A$1501,Registro!$C$2:$C$1501,$A22))</f>
        <v/>
      </c>
      <c r="E22" s="12">
        <f>IF($A22="","",COUNTIFS(Registro!$C$2:$C$1501,$A22,Registro!$E$2:$E$1501,"&gt;0"))</f>
        <v/>
      </c>
      <c r="F22" s="10">
        <f>IF($A22="","",SUMIFS(Registro!$E$2:$E$1501,Registro!$C$2:$C$1501,$A22,Registro!$B$2:$B$1501,"Test ABO"))</f>
        <v/>
      </c>
      <c r="G22" s="24">
        <f>IF($A22="","",F22/CPA_BE)</f>
        <v/>
      </c>
      <c r="H22" s="12">
        <f>IF($A22="","",SUMIFS(Registro!$H$2:$H$1501,Registro!$C$2:$C$1501,$A22,Registro!$B$2:$B$1501,"Test ABO"))</f>
        <v/>
      </c>
      <c r="I22" s="10">
        <f>IF(N(H22)&gt;0,F22/H22,"")</f>
        <v/>
      </c>
      <c r="J22" s="25">
        <f>IF(N(H22)&gt;0,I22/CPA_BE-1,"")</f>
        <v/>
      </c>
      <c r="K22" s="11">
        <f>IF(N(F22)&gt;0,SUMIFS(Registro!$I$2:$I$1501,Registro!$C$2:$C$1501,$A22,Registro!$B$2:$B$1501,"Test ABO")/F22,"")</f>
        <v/>
      </c>
      <c r="L22" s="10">
        <f>IF(N(F22)&gt;0,SUMIFS(Registro!$I$2:$I$1501,Registro!$C$2:$C$1501,$A22,Registro!$B$2:$B$1501,"Test ABO")*(1-COM-COM_SHOP)-F22*(1+IMP_META),"")</f>
        <v/>
      </c>
      <c r="M22" s="13">
        <f>IF(SUMIFS(Registro!$F$2:$F$1501,Registro!$C$2:$C$1501,$A22,Registro!$B$2:$B$1501,"Test ABO")&gt;0,SUMIFS(Registro!$G$2:$G$1501,Registro!$C$2:$C$1501,$A22,Registro!$B$2:$B$1501,"Test ABO")/SUMIFS(Registro!$F$2:$F$1501,Registro!$C$2:$C$1501,$A22,Registro!$B$2:$B$1501,"Test ABO"),"")</f>
        <v/>
      </c>
      <c r="N22" s="9">
        <f>IF($A22="","",IF(N(F22)=0,"Sin datos",IF(AND(H22&gt;=MIN_VENTAS,N(I22)&lt;=CPA_BE),"GANADOR → pasar a CBO",IF(AND(H22=0,F22&gt;=K_SIN_VENTA*CPA_BE),"APAGAR (sin ventas)",IF(AND(H22&gt;0,F22&gt;=K_CARO*CPA_BE,N(I22)&gt;CPA_BE*(1+TOL)),"APAGAR (CPA alto)",IF(AND(H22&gt;0,N(I22)&lt;=CPA_BE*(1+TOL)),"Prometedor / cerca del BE","Juntando datos"))))))</f>
        <v/>
      </c>
      <c r="O22" s="10">
        <f>IF($A22="","",SUMIFS(Registro!$E$2:$E$1501,Registro!$C$2:$C$1501,$A22,Registro!$B$2:$B$1501,"Escala CBO"))</f>
        <v/>
      </c>
      <c r="P22" s="12">
        <f>IF($A22="","",SUMIFS(Registro!$H$2:$H$1501,Registro!$C$2:$C$1501,$A22,Registro!$B$2:$B$1501,"Escala CBO"))</f>
        <v/>
      </c>
      <c r="Q22" s="10">
        <f>IF(N(P22)&gt;0,O22/P22,"")</f>
        <v/>
      </c>
      <c r="R22" s="11">
        <f>IF(N(O22)&gt;0,SUMIFS(Registro!$I$2:$I$1501,Registro!$C$2:$C$1501,$A22,Registro!$B$2:$B$1501,"Escala CBO")/O22,"")</f>
        <v/>
      </c>
      <c r="S22" s="10">
        <f>IF(N(O22)&gt;0,SUMIFS(Registro!$I$2:$I$1501,Registro!$C$2:$C$1501,$A22,Registro!$B$2:$B$1501,"Escala CBO")*(1-COM-COM_SHOP)-O22*(1+IMP_META),"")</f>
        <v/>
      </c>
      <c r="T22" s="9">
        <f>IF(N(O22)=0,"",IF(P22=0,IF(O22&gt;=K_SIN_VENTA*CPA_BE,"Sin ventas: revisar","Juntando datos"),IF(Q22&lt;=CPA_BE,"Rentable","No rentable")))</f>
        <v/>
      </c>
      <c r="U22" s="10">
        <f>IF($A22="","",N(L22)+N(S22))</f>
        <v/>
      </c>
    </row>
    <row r="23">
      <c r="A23" s="23" t="n"/>
      <c r="B23" s="23" t="n"/>
      <c r="C23" s="23" t="n"/>
      <c r="D23" s="18">
        <f>IF(COUNTIFS(Registro!$C$2:$C$1501,$A23)=0,"",_xlfn.MINIFS(Registro!$A$2:$A$1501,Registro!$C$2:$C$1501,$A23))</f>
        <v/>
      </c>
      <c r="E23" s="12">
        <f>IF($A23="","",COUNTIFS(Registro!$C$2:$C$1501,$A23,Registro!$E$2:$E$1501,"&gt;0"))</f>
        <v/>
      </c>
      <c r="F23" s="10">
        <f>IF($A23="","",SUMIFS(Registro!$E$2:$E$1501,Registro!$C$2:$C$1501,$A23,Registro!$B$2:$B$1501,"Test ABO"))</f>
        <v/>
      </c>
      <c r="G23" s="24">
        <f>IF($A23="","",F23/CPA_BE)</f>
        <v/>
      </c>
      <c r="H23" s="12">
        <f>IF($A23="","",SUMIFS(Registro!$H$2:$H$1501,Registro!$C$2:$C$1501,$A23,Registro!$B$2:$B$1501,"Test ABO"))</f>
        <v/>
      </c>
      <c r="I23" s="10">
        <f>IF(N(H23)&gt;0,F23/H23,"")</f>
        <v/>
      </c>
      <c r="J23" s="25">
        <f>IF(N(H23)&gt;0,I23/CPA_BE-1,"")</f>
        <v/>
      </c>
      <c r="K23" s="11">
        <f>IF(N(F23)&gt;0,SUMIFS(Registro!$I$2:$I$1501,Registro!$C$2:$C$1501,$A23,Registro!$B$2:$B$1501,"Test ABO")/F23,"")</f>
        <v/>
      </c>
      <c r="L23" s="10">
        <f>IF(N(F23)&gt;0,SUMIFS(Registro!$I$2:$I$1501,Registro!$C$2:$C$1501,$A23,Registro!$B$2:$B$1501,"Test ABO")*(1-COM-COM_SHOP)-F23*(1+IMP_META),"")</f>
        <v/>
      </c>
      <c r="M23" s="13">
        <f>IF(SUMIFS(Registro!$F$2:$F$1501,Registro!$C$2:$C$1501,$A23,Registro!$B$2:$B$1501,"Test ABO")&gt;0,SUMIFS(Registro!$G$2:$G$1501,Registro!$C$2:$C$1501,$A23,Registro!$B$2:$B$1501,"Test ABO")/SUMIFS(Registro!$F$2:$F$1501,Registro!$C$2:$C$1501,$A23,Registro!$B$2:$B$1501,"Test ABO"),"")</f>
        <v/>
      </c>
      <c r="N23" s="9">
        <f>IF($A23="","",IF(N(F23)=0,"Sin datos",IF(AND(H23&gt;=MIN_VENTAS,N(I23)&lt;=CPA_BE),"GANADOR → pasar a CBO",IF(AND(H23=0,F23&gt;=K_SIN_VENTA*CPA_BE),"APAGAR (sin ventas)",IF(AND(H23&gt;0,F23&gt;=K_CARO*CPA_BE,N(I23)&gt;CPA_BE*(1+TOL)),"APAGAR (CPA alto)",IF(AND(H23&gt;0,N(I23)&lt;=CPA_BE*(1+TOL)),"Prometedor / cerca del BE","Juntando datos"))))))</f>
        <v/>
      </c>
      <c r="O23" s="10">
        <f>IF($A23="","",SUMIFS(Registro!$E$2:$E$1501,Registro!$C$2:$C$1501,$A23,Registro!$B$2:$B$1501,"Escala CBO"))</f>
        <v/>
      </c>
      <c r="P23" s="12">
        <f>IF($A23="","",SUMIFS(Registro!$H$2:$H$1501,Registro!$C$2:$C$1501,$A23,Registro!$B$2:$B$1501,"Escala CBO"))</f>
        <v/>
      </c>
      <c r="Q23" s="10">
        <f>IF(N(P23)&gt;0,O23/P23,"")</f>
        <v/>
      </c>
      <c r="R23" s="11">
        <f>IF(N(O23)&gt;0,SUMIFS(Registro!$I$2:$I$1501,Registro!$C$2:$C$1501,$A23,Registro!$B$2:$B$1501,"Escala CBO")/O23,"")</f>
        <v/>
      </c>
      <c r="S23" s="10">
        <f>IF(N(O23)&gt;0,SUMIFS(Registro!$I$2:$I$1501,Registro!$C$2:$C$1501,$A23,Registro!$B$2:$B$1501,"Escala CBO")*(1-COM-COM_SHOP)-O23*(1+IMP_META),"")</f>
        <v/>
      </c>
      <c r="T23" s="9">
        <f>IF(N(O23)=0,"",IF(P23=0,IF(O23&gt;=K_SIN_VENTA*CPA_BE,"Sin ventas: revisar","Juntando datos"),IF(Q23&lt;=CPA_BE,"Rentable","No rentable")))</f>
        <v/>
      </c>
      <c r="U23" s="10">
        <f>IF($A23="","",N(L23)+N(S23))</f>
        <v/>
      </c>
    </row>
    <row r="24">
      <c r="A24" s="23" t="n"/>
      <c r="B24" s="23" t="n"/>
      <c r="C24" s="23" t="n"/>
      <c r="D24" s="18">
        <f>IF(COUNTIFS(Registro!$C$2:$C$1501,$A24)=0,"",_xlfn.MINIFS(Registro!$A$2:$A$1501,Registro!$C$2:$C$1501,$A24))</f>
        <v/>
      </c>
      <c r="E24" s="12">
        <f>IF($A24="","",COUNTIFS(Registro!$C$2:$C$1501,$A24,Registro!$E$2:$E$1501,"&gt;0"))</f>
        <v/>
      </c>
      <c r="F24" s="10">
        <f>IF($A24="","",SUMIFS(Registro!$E$2:$E$1501,Registro!$C$2:$C$1501,$A24,Registro!$B$2:$B$1501,"Test ABO"))</f>
        <v/>
      </c>
      <c r="G24" s="24">
        <f>IF($A24="","",F24/CPA_BE)</f>
        <v/>
      </c>
      <c r="H24" s="12">
        <f>IF($A24="","",SUMIFS(Registro!$H$2:$H$1501,Registro!$C$2:$C$1501,$A24,Registro!$B$2:$B$1501,"Test ABO"))</f>
        <v/>
      </c>
      <c r="I24" s="10">
        <f>IF(N(H24)&gt;0,F24/H24,"")</f>
        <v/>
      </c>
      <c r="J24" s="25">
        <f>IF(N(H24)&gt;0,I24/CPA_BE-1,"")</f>
        <v/>
      </c>
      <c r="K24" s="11">
        <f>IF(N(F24)&gt;0,SUMIFS(Registro!$I$2:$I$1501,Registro!$C$2:$C$1501,$A24,Registro!$B$2:$B$1501,"Test ABO")/F24,"")</f>
        <v/>
      </c>
      <c r="L24" s="10">
        <f>IF(N(F24)&gt;0,SUMIFS(Registro!$I$2:$I$1501,Registro!$C$2:$C$1501,$A24,Registro!$B$2:$B$1501,"Test ABO")*(1-COM-COM_SHOP)-F24*(1+IMP_META),"")</f>
        <v/>
      </c>
      <c r="M24" s="13">
        <f>IF(SUMIFS(Registro!$F$2:$F$1501,Registro!$C$2:$C$1501,$A24,Registro!$B$2:$B$1501,"Test ABO")&gt;0,SUMIFS(Registro!$G$2:$G$1501,Registro!$C$2:$C$1501,$A24,Registro!$B$2:$B$1501,"Test ABO")/SUMIFS(Registro!$F$2:$F$1501,Registro!$C$2:$C$1501,$A24,Registro!$B$2:$B$1501,"Test ABO"),"")</f>
        <v/>
      </c>
      <c r="N24" s="9">
        <f>IF($A24="","",IF(N(F24)=0,"Sin datos",IF(AND(H24&gt;=MIN_VENTAS,N(I24)&lt;=CPA_BE),"GANADOR → pasar a CBO",IF(AND(H24=0,F24&gt;=K_SIN_VENTA*CPA_BE),"APAGAR (sin ventas)",IF(AND(H24&gt;0,F24&gt;=K_CARO*CPA_BE,N(I24)&gt;CPA_BE*(1+TOL)),"APAGAR (CPA alto)",IF(AND(H24&gt;0,N(I24)&lt;=CPA_BE*(1+TOL)),"Prometedor / cerca del BE","Juntando datos"))))))</f>
        <v/>
      </c>
      <c r="O24" s="10">
        <f>IF($A24="","",SUMIFS(Registro!$E$2:$E$1501,Registro!$C$2:$C$1501,$A24,Registro!$B$2:$B$1501,"Escala CBO"))</f>
        <v/>
      </c>
      <c r="P24" s="12">
        <f>IF($A24="","",SUMIFS(Registro!$H$2:$H$1501,Registro!$C$2:$C$1501,$A24,Registro!$B$2:$B$1501,"Escala CBO"))</f>
        <v/>
      </c>
      <c r="Q24" s="10">
        <f>IF(N(P24)&gt;0,O24/P24,"")</f>
        <v/>
      </c>
      <c r="R24" s="11">
        <f>IF(N(O24)&gt;0,SUMIFS(Registro!$I$2:$I$1501,Registro!$C$2:$C$1501,$A24,Registro!$B$2:$B$1501,"Escala CBO")/O24,"")</f>
        <v/>
      </c>
      <c r="S24" s="10">
        <f>IF(N(O24)&gt;0,SUMIFS(Registro!$I$2:$I$1501,Registro!$C$2:$C$1501,$A24,Registro!$B$2:$B$1501,"Escala CBO")*(1-COM-COM_SHOP)-O24*(1+IMP_META),"")</f>
        <v/>
      </c>
      <c r="T24" s="9">
        <f>IF(N(O24)=0,"",IF(P24=0,IF(O24&gt;=K_SIN_VENTA*CPA_BE,"Sin ventas: revisar","Juntando datos"),IF(Q24&lt;=CPA_BE,"Rentable","No rentable")))</f>
        <v/>
      </c>
      <c r="U24" s="10">
        <f>IF($A24="","",N(L24)+N(S24))</f>
        <v/>
      </c>
    </row>
    <row r="25">
      <c r="A25" s="23" t="n"/>
      <c r="B25" s="23" t="n"/>
      <c r="C25" s="23" t="n"/>
      <c r="D25" s="18">
        <f>IF(COUNTIFS(Registro!$C$2:$C$1501,$A25)=0,"",_xlfn.MINIFS(Registro!$A$2:$A$1501,Registro!$C$2:$C$1501,$A25))</f>
        <v/>
      </c>
      <c r="E25" s="12">
        <f>IF($A25="","",COUNTIFS(Registro!$C$2:$C$1501,$A25,Registro!$E$2:$E$1501,"&gt;0"))</f>
        <v/>
      </c>
      <c r="F25" s="10">
        <f>IF($A25="","",SUMIFS(Registro!$E$2:$E$1501,Registro!$C$2:$C$1501,$A25,Registro!$B$2:$B$1501,"Test ABO"))</f>
        <v/>
      </c>
      <c r="G25" s="24">
        <f>IF($A25="","",F25/CPA_BE)</f>
        <v/>
      </c>
      <c r="H25" s="12">
        <f>IF($A25="","",SUMIFS(Registro!$H$2:$H$1501,Registro!$C$2:$C$1501,$A25,Registro!$B$2:$B$1501,"Test ABO"))</f>
        <v/>
      </c>
      <c r="I25" s="10">
        <f>IF(N(H25)&gt;0,F25/H25,"")</f>
        <v/>
      </c>
      <c r="J25" s="25">
        <f>IF(N(H25)&gt;0,I25/CPA_BE-1,"")</f>
        <v/>
      </c>
      <c r="K25" s="11">
        <f>IF(N(F25)&gt;0,SUMIFS(Registro!$I$2:$I$1501,Registro!$C$2:$C$1501,$A25,Registro!$B$2:$B$1501,"Test ABO")/F25,"")</f>
        <v/>
      </c>
      <c r="L25" s="10">
        <f>IF(N(F25)&gt;0,SUMIFS(Registro!$I$2:$I$1501,Registro!$C$2:$C$1501,$A25,Registro!$B$2:$B$1501,"Test ABO")*(1-COM-COM_SHOP)-F25*(1+IMP_META),"")</f>
        <v/>
      </c>
      <c r="M25" s="13">
        <f>IF(SUMIFS(Registro!$F$2:$F$1501,Registro!$C$2:$C$1501,$A25,Registro!$B$2:$B$1501,"Test ABO")&gt;0,SUMIFS(Registro!$G$2:$G$1501,Registro!$C$2:$C$1501,$A25,Registro!$B$2:$B$1501,"Test ABO")/SUMIFS(Registro!$F$2:$F$1501,Registro!$C$2:$C$1501,$A25,Registro!$B$2:$B$1501,"Test ABO"),"")</f>
        <v/>
      </c>
      <c r="N25" s="9">
        <f>IF($A25="","",IF(N(F25)=0,"Sin datos",IF(AND(H25&gt;=MIN_VENTAS,N(I25)&lt;=CPA_BE),"GANADOR → pasar a CBO",IF(AND(H25=0,F25&gt;=K_SIN_VENTA*CPA_BE),"APAGAR (sin ventas)",IF(AND(H25&gt;0,F25&gt;=K_CARO*CPA_BE,N(I25)&gt;CPA_BE*(1+TOL)),"APAGAR (CPA alto)",IF(AND(H25&gt;0,N(I25)&lt;=CPA_BE*(1+TOL)),"Prometedor / cerca del BE","Juntando datos"))))))</f>
        <v/>
      </c>
      <c r="O25" s="10">
        <f>IF($A25="","",SUMIFS(Registro!$E$2:$E$1501,Registro!$C$2:$C$1501,$A25,Registro!$B$2:$B$1501,"Escala CBO"))</f>
        <v/>
      </c>
      <c r="P25" s="12">
        <f>IF($A25="","",SUMIFS(Registro!$H$2:$H$1501,Registro!$C$2:$C$1501,$A25,Registro!$B$2:$B$1501,"Escala CBO"))</f>
        <v/>
      </c>
      <c r="Q25" s="10">
        <f>IF(N(P25)&gt;0,O25/P25,"")</f>
        <v/>
      </c>
      <c r="R25" s="11">
        <f>IF(N(O25)&gt;0,SUMIFS(Registro!$I$2:$I$1501,Registro!$C$2:$C$1501,$A25,Registro!$B$2:$B$1501,"Escala CBO")/O25,"")</f>
        <v/>
      </c>
      <c r="S25" s="10">
        <f>IF(N(O25)&gt;0,SUMIFS(Registro!$I$2:$I$1501,Registro!$C$2:$C$1501,$A25,Registro!$B$2:$B$1501,"Escala CBO")*(1-COM-COM_SHOP)-O25*(1+IMP_META),"")</f>
        <v/>
      </c>
      <c r="T25" s="9">
        <f>IF(N(O25)=0,"",IF(P25=0,IF(O25&gt;=K_SIN_VENTA*CPA_BE,"Sin ventas: revisar","Juntando datos"),IF(Q25&lt;=CPA_BE,"Rentable","No rentable")))</f>
        <v/>
      </c>
      <c r="U25" s="10">
        <f>IF($A25="","",N(L25)+N(S25))</f>
        <v/>
      </c>
    </row>
    <row r="26">
      <c r="A26" s="23" t="n"/>
      <c r="B26" s="23" t="n"/>
      <c r="C26" s="23" t="n"/>
      <c r="D26" s="18">
        <f>IF(COUNTIFS(Registro!$C$2:$C$1501,$A26)=0,"",_xlfn.MINIFS(Registro!$A$2:$A$1501,Registro!$C$2:$C$1501,$A26))</f>
        <v/>
      </c>
      <c r="E26" s="12">
        <f>IF($A26="","",COUNTIFS(Registro!$C$2:$C$1501,$A26,Registro!$E$2:$E$1501,"&gt;0"))</f>
        <v/>
      </c>
      <c r="F26" s="10">
        <f>IF($A26="","",SUMIFS(Registro!$E$2:$E$1501,Registro!$C$2:$C$1501,$A26,Registro!$B$2:$B$1501,"Test ABO"))</f>
        <v/>
      </c>
      <c r="G26" s="24">
        <f>IF($A26="","",F26/CPA_BE)</f>
        <v/>
      </c>
      <c r="H26" s="12">
        <f>IF($A26="","",SUMIFS(Registro!$H$2:$H$1501,Registro!$C$2:$C$1501,$A26,Registro!$B$2:$B$1501,"Test ABO"))</f>
        <v/>
      </c>
      <c r="I26" s="10">
        <f>IF(N(H26)&gt;0,F26/H26,"")</f>
        <v/>
      </c>
      <c r="J26" s="25">
        <f>IF(N(H26)&gt;0,I26/CPA_BE-1,"")</f>
        <v/>
      </c>
      <c r="K26" s="11">
        <f>IF(N(F26)&gt;0,SUMIFS(Registro!$I$2:$I$1501,Registro!$C$2:$C$1501,$A26,Registro!$B$2:$B$1501,"Test ABO")/F26,"")</f>
        <v/>
      </c>
      <c r="L26" s="10">
        <f>IF(N(F26)&gt;0,SUMIFS(Registro!$I$2:$I$1501,Registro!$C$2:$C$1501,$A26,Registro!$B$2:$B$1501,"Test ABO")*(1-COM-COM_SHOP)-F26*(1+IMP_META),"")</f>
        <v/>
      </c>
      <c r="M26" s="13">
        <f>IF(SUMIFS(Registro!$F$2:$F$1501,Registro!$C$2:$C$1501,$A26,Registro!$B$2:$B$1501,"Test ABO")&gt;0,SUMIFS(Registro!$G$2:$G$1501,Registro!$C$2:$C$1501,$A26,Registro!$B$2:$B$1501,"Test ABO")/SUMIFS(Registro!$F$2:$F$1501,Registro!$C$2:$C$1501,$A26,Registro!$B$2:$B$1501,"Test ABO"),"")</f>
        <v/>
      </c>
      <c r="N26" s="9">
        <f>IF($A26="","",IF(N(F26)=0,"Sin datos",IF(AND(H26&gt;=MIN_VENTAS,N(I26)&lt;=CPA_BE),"GANADOR → pasar a CBO",IF(AND(H26=0,F26&gt;=K_SIN_VENTA*CPA_BE),"APAGAR (sin ventas)",IF(AND(H26&gt;0,F26&gt;=K_CARO*CPA_BE,N(I26)&gt;CPA_BE*(1+TOL)),"APAGAR (CPA alto)",IF(AND(H26&gt;0,N(I26)&lt;=CPA_BE*(1+TOL)),"Prometedor / cerca del BE","Juntando datos"))))))</f>
        <v/>
      </c>
      <c r="O26" s="10">
        <f>IF($A26="","",SUMIFS(Registro!$E$2:$E$1501,Registro!$C$2:$C$1501,$A26,Registro!$B$2:$B$1501,"Escala CBO"))</f>
        <v/>
      </c>
      <c r="P26" s="12">
        <f>IF($A26="","",SUMIFS(Registro!$H$2:$H$1501,Registro!$C$2:$C$1501,$A26,Registro!$B$2:$B$1501,"Escala CBO"))</f>
        <v/>
      </c>
      <c r="Q26" s="10">
        <f>IF(N(P26)&gt;0,O26/P26,"")</f>
        <v/>
      </c>
      <c r="R26" s="11">
        <f>IF(N(O26)&gt;0,SUMIFS(Registro!$I$2:$I$1501,Registro!$C$2:$C$1501,$A26,Registro!$B$2:$B$1501,"Escala CBO")/O26,"")</f>
        <v/>
      </c>
      <c r="S26" s="10">
        <f>IF(N(O26)&gt;0,SUMIFS(Registro!$I$2:$I$1501,Registro!$C$2:$C$1501,$A26,Registro!$B$2:$B$1501,"Escala CBO")*(1-COM-COM_SHOP)-O26*(1+IMP_META),"")</f>
        <v/>
      </c>
      <c r="T26" s="9">
        <f>IF(N(O26)=0,"",IF(P26=0,IF(O26&gt;=K_SIN_VENTA*CPA_BE,"Sin ventas: revisar","Juntando datos"),IF(Q26&lt;=CPA_BE,"Rentable","No rentable")))</f>
        <v/>
      </c>
      <c r="U26" s="10">
        <f>IF($A26="","",N(L26)+N(S26))</f>
        <v/>
      </c>
    </row>
    <row r="27">
      <c r="A27" s="23" t="n"/>
      <c r="B27" s="23" t="n"/>
      <c r="C27" s="23" t="n"/>
      <c r="D27" s="18">
        <f>IF(COUNTIFS(Registro!$C$2:$C$1501,$A27)=0,"",_xlfn.MINIFS(Registro!$A$2:$A$1501,Registro!$C$2:$C$1501,$A27))</f>
        <v/>
      </c>
      <c r="E27" s="12">
        <f>IF($A27="","",COUNTIFS(Registro!$C$2:$C$1501,$A27,Registro!$E$2:$E$1501,"&gt;0"))</f>
        <v/>
      </c>
      <c r="F27" s="10">
        <f>IF($A27="","",SUMIFS(Registro!$E$2:$E$1501,Registro!$C$2:$C$1501,$A27,Registro!$B$2:$B$1501,"Test ABO"))</f>
        <v/>
      </c>
      <c r="G27" s="24">
        <f>IF($A27="","",F27/CPA_BE)</f>
        <v/>
      </c>
      <c r="H27" s="12">
        <f>IF($A27="","",SUMIFS(Registro!$H$2:$H$1501,Registro!$C$2:$C$1501,$A27,Registro!$B$2:$B$1501,"Test ABO"))</f>
        <v/>
      </c>
      <c r="I27" s="10">
        <f>IF(N(H27)&gt;0,F27/H27,"")</f>
        <v/>
      </c>
      <c r="J27" s="25">
        <f>IF(N(H27)&gt;0,I27/CPA_BE-1,"")</f>
        <v/>
      </c>
      <c r="K27" s="11">
        <f>IF(N(F27)&gt;0,SUMIFS(Registro!$I$2:$I$1501,Registro!$C$2:$C$1501,$A27,Registro!$B$2:$B$1501,"Test ABO")/F27,"")</f>
        <v/>
      </c>
      <c r="L27" s="10">
        <f>IF(N(F27)&gt;0,SUMIFS(Registro!$I$2:$I$1501,Registro!$C$2:$C$1501,$A27,Registro!$B$2:$B$1501,"Test ABO")*(1-COM-COM_SHOP)-F27*(1+IMP_META),"")</f>
        <v/>
      </c>
      <c r="M27" s="13">
        <f>IF(SUMIFS(Registro!$F$2:$F$1501,Registro!$C$2:$C$1501,$A27,Registro!$B$2:$B$1501,"Test ABO")&gt;0,SUMIFS(Registro!$G$2:$G$1501,Registro!$C$2:$C$1501,$A27,Registro!$B$2:$B$1501,"Test ABO")/SUMIFS(Registro!$F$2:$F$1501,Registro!$C$2:$C$1501,$A27,Registro!$B$2:$B$1501,"Test ABO"),"")</f>
        <v/>
      </c>
      <c r="N27" s="9">
        <f>IF($A27="","",IF(N(F27)=0,"Sin datos",IF(AND(H27&gt;=MIN_VENTAS,N(I27)&lt;=CPA_BE),"GANADOR → pasar a CBO",IF(AND(H27=0,F27&gt;=K_SIN_VENTA*CPA_BE),"APAGAR (sin ventas)",IF(AND(H27&gt;0,F27&gt;=K_CARO*CPA_BE,N(I27)&gt;CPA_BE*(1+TOL)),"APAGAR (CPA alto)",IF(AND(H27&gt;0,N(I27)&lt;=CPA_BE*(1+TOL)),"Prometedor / cerca del BE","Juntando datos"))))))</f>
        <v/>
      </c>
      <c r="O27" s="10">
        <f>IF($A27="","",SUMIFS(Registro!$E$2:$E$1501,Registro!$C$2:$C$1501,$A27,Registro!$B$2:$B$1501,"Escala CBO"))</f>
        <v/>
      </c>
      <c r="P27" s="12">
        <f>IF($A27="","",SUMIFS(Registro!$H$2:$H$1501,Registro!$C$2:$C$1501,$A27,Registro!$B$2:$B$1501,"Escala CBO"))</f>
        <v/>
      </c>
      <c r="Q27" s="10">
        <f>IF(N(P27)&gt;0,O27/P27,"")</f>
        <v/>
      </c>
      <c r="R27" s="11">
        <f>IF(N(O27)&gt;0,SUMIFS(Registro!$I$2:$I$1501,Registro!$C$2:$C$1501,$A27,Registro!$B$2:$B$1501,"Escala CBO")/O27,"")</f>
        <v/>
      </c>
      <c r="S27" s="10">
        <f>IF(N(O27)&gt;0,SUMIFS(Registro!$I$2:$I$1501,Registro!$C$2:$C$1501,$A27,Registro!$B$2:$B$1501,"Escala CBO")*(1-COM-COM_SHOP)-O27*(1+IMP_META),"")</f>
        <v/>
      </c>
      <c r="T27" s="9">
        <f>IF(N(O27)=0,"",IF(P27=0,IF(O27&gt;=K_SIN_VENTA*CPA_BE,"Sin ventas: revisar","Juntando datos"),IF(Q27&lt;=CPA_BE,"Rentable","No rentable")))</f>
        <v/>
      </c>
      <c r="U27" s="10">
        <f>IF($A27="","",N(L27)+N(S27))</f>
        <v/>
      </c>
    </row>
    <row r="28">
      <c r="A28" s="23" t="n"/>
      <c r="B28" s="23" t="n"/>
      <c r="C28" s="23" t="n"/>
      <c r="D28" s="18">
        <f>IF(COUNTIFS(Registro!$C$2:$C$1501,$A28)=0,"",_xlfn.MINIFS(Registro!$A$2:$A$1501,Registro!$C$2:$C$1501,$A28))</f>
        <v/>
      </c>
      <c r="E28" s="12">
        <f>IF($A28="","",COUNTIFS(Registro!$C$2:$C$1501,$A28,Registro!$E$2:$E$1501,"&gt;0"))</f>
        <v/>
      </c>
      <c r="F28" s="10">
        <f>IF($A28="","",SUMIFS(Registro!$E$2:$E$1501,Registro!$C$2:$C$1501,$A28,Registro!$B$2:$B$1501,"Test ABO"))</f>
        <v/>
      </c>
      <c r="G28" s="24">
        <f>IF($A28="","",F28/CPA_BE)</f>
        <v/>
      </c>
      <c r="H28" s="12">
        <f>IF($A28="","",SUMIFS(Registro!$H$2:$H$1501,Registro!$C$2:$C$1501,$A28,Registro!$B$2:$B$1501,"Test ABO"))</f>
        <v/>
      </c>
      <c r="I28" s="10">
        <f>IF(N(H28)&gt;0,F28/H28,"")</f>
        <v/>
      </c>
      <c r="J28" s="25">
        <f>IF(N(H28)&gt;0,I28/CPA_BE-1,"")</f>
        <v/>
      </c>
      <c r="K28" s="11">
        <f>IF(N(F28)&gt;0,SUMIFS(Registro!$I$2:$I$1501,Registro!$C$2:$C$1501,$A28,Registro!$B$2:$B$1501,"Test ABO")/F28,"")</f>
        <v/>
      </c>
      <c r="L28" s="10">
        <f>IF(N(F28)&gt;0,SUMIFS(Registro!$I$2:$I$1501,Registro!$C$2:$C$1501,$A28,Registro!$B$2:$B$1501,"Test ABO")*(1-COM-COM_SHOP)-F28*(1+IMP_META),"")</f>
        <v/>
      </c>
      <c r="M28" s="13">
        <f>IF(SUMIFS(Registro!$F$2:$F$1501,Registro!$C$2:$C$1501,$A28,Registro!$B$2:$B$1501,"Test ABO")&gt;0,SUMIFS(Registro!$G$2:$G$1501,Registro!$C$2:$C$1501,$A28,Registro!$B$2:$B$1501,"Test ABO")/SUMIFS(Registro!$F$2:$F$1501,Registro!$C$2:$C$1501,$A28,Registro!$B$2:$B$1501,"Test ABO"),"")</f>
        <v/>
      </c>
      <c r="N28" s="9">
        <f>IF($A28="","",IF(N(F28)=0,"Sin datos",IF(AND(H28&gt;=MIN_VENTAS,N(I28)&lt;=CPA_BE),"GANADOR → pasar a CBO",IF(AND(H28=0,F28&gt;=K_SIN_VENTA*CPA_BE),"APAGAR (sin ventas)",IF(AND(H28&gt;0,F28&gt;=K_CARO*CPA_BE,N(I28)&gt;CPA_BE*(1+TOL)),"APAGAR (CPA alto)",IF(AND(H28&gt;0,N(I28)&lt;=CPA_BE*(1+TOL)),"Prometedor / cerca del BE","Juntando datos"))))))</f>
        <v/>
      </c>
      <c r="O28" s="10">
        <f>IF($A28="","",SUMIFS(Registro!$E$2:$E$1501,Registro!$C$2:$C$1501,$A28,Registro!$B$2:$B$1501,"Escala CBO"))</f>
        <v/>
      </c>
      <c r="P28" s="12">
        <f>IF($A28="","",SUMIFS(Registro!$H$2:$H$1501,Registro!$C$2:$C$1501,$A28,Registro!$B$2:$B$1501,"Escala CBO"))</f>
        <v/>
      </c>
      <c r="Q28" s="10">
        <f>IF(N(P28)&gt;0,O28/P28,"")</f>
        <v/>
      </c>
      <c r="R28" s="11">
        <f>IF(N(O28)&gt;0,SUMIFS(Registro!$I$2:$I$1501,Registro!$C$2:$C$1501,$A28,Registro!$B$2:$B$1501,"Escala CBO")/O28,"")</f>
        <v/>
      </c>
      <c r="S28" s="10">
        <f>IF(N(O28)&gt;0,SUMIFS(Registro!$I$2:$I$1501,Registro!$C$2:$C$1501,$A28,Registro!$B$2:$B$1501,"Escala CBO")*(1-COM-COM_SHOP)-O28*(1+IMP_META),"")</f>
        <v/>
      </c>
      <c r="T28" s="9">
        <f>IF(N(O28)=0,"",IF(P28=0,IF(O28&gt;=K_SIN_VENTA*CPA_BE,"Sin ventas: revisar","Juntando datos"),IF(Q28&lt;=CPA_BE,"Rentable","No rentable")))</f>
        <v/>
      </c>
      <c r="U28" s="10">
        <f>IF($A28="","",N(L28)+N(S28))</f>
        <v/>
      </c>
    </row>
    <row r="29">
      <c r="A29" s="23" t="n"/>
      <c r="B29" s="23" t="n"/>
      <c r="C29" s="23" t="n"/>
      <c r="D29" s="18">
        <f>IF(COUNTIFS(Registro!$C$2:$C$1501,$A29)=0,"",_xlfn.MINIFS(Registro!$A$2:$A$1501,Registro!$C$2:$C$1501,$A29))</f>
        <v/>
      </c>
      <c r="E29" s="12">
        <f>IF($A29="","",COUNTIFS(Registro!$C$2:$C$1501,$A29,Registro!$E$2:$E$1501,"&gt;0"))</f>
        <v/>
      </c>
      <c r="F29" s="10">
        <f>IF($A29="","",SUMIFS(Registro!$E$2:$E$1501,Registro!$C$2:$C$1501,$A29,Registro!$B$2:$B$1501,"Test ABO"))</f>
        <v/>
      </c>
      <c r="G29" s="24">
        <f>IF($A29="","",F29/CPA_BE)</f>
        <v/>
      </c>
      <c r="H29" s="12">
        <f>IF($A29="","",SUMIFS(Registro!$H$2:$H$1501,Registro!$C$2:$C$1501,$A29,Registro!$B$2:$B$1501,"Test ABO"))</f>
        <v/>
      </c>
      <c r="I29" s="10">
        <f>IF(N(H29)&gt;0,F29/H29,"")</f>
        <v/>
      </c>
      <c r="J29" s="25">
        <f>IF(N(H29)&gt;0,I29/CPA_BE-1,"")</f>
        <v/>
      </c>
      <c r="K29" s="11">
        <f>IF(N(F29)&gt;0,SUMIFS(Registro!$I$2:$I$1501,Registro!$C$2:$C$1501,$A29,Registro!$B$2:$B$1501,"Test ABO")/F29,"")</f>
        <v/>
      </c>
      <c r="L29" s="10">
        <f>IF(N(F29)&gt;0,SUMIFS(Registro!$I$2:$I$1501,Registro!$C$2:$C$1501,$A29,Registro!$B$2:$B$1501,"Test ABO")*(1-COM-COM_SHOP)-F29*(1+IMP_META),"")</f>
        <v/>
      </c>
      <c r="M29" s="13">
        <f>IF(SUMIFS(Registro!$F$2:$F$1501,Registro!$C$2:$C$1501,$A29,Registro!$B$2:$B$1501,"Test ABO")&gt;0,SUMIFS(Registro!$G$2:$G$1501,Registro!$C$2:$C$1501,$A29,Registro!$B$2:$B$1501,"Test ABO")/SUMIFS(Registro!$F$2:$F$1501,Registro!$C$2:$C$1501,$A29,Registro!$B$2:$B$1501,"Test ABO"),"")</f>
        <v/>
      </c>
      <c r="N29" s="9">
        <f>IF($A29="","",IF(N(F29)=0,"Sin datos",IF(AND(H29&gt;=MIN_VENTAS,N(I29)&lt;=CPA_BE),"GANADOR → pasar a CBO",IF(AND(H29=0,F29&gt;=K_SIN_VENTA*CPA_BE),"APAGAR (sin ventas)",IF(AND(H29&gt;0,F29&gt;=K_CARO*CPA_BE,N(I29)&gt;CPA_BE*(1+TOL)),"APAGAR (CPA alto)",IF(AND(H29&gt;0,N(I29)&lt;=CPA_BE*(1+TOL)),"Prometedor / cerca del BE","Juntando datos"))))))</f>
        <v/>
      </c>
      <c r="O29" s="10">
        <f>IF($A29="","",SUMIFS(Registro!$E$2:$E$1501,Registro!$C$2:$C$1501,$A29,Registro!$B$2:$B$1501,"Escala CBO"))</f>
        <v/>
      </c>
      <c r="P29" s="12">
        <f>IF($A29="","",SUMIFS(Registro!$H$2:$H$1501,Registro!$C$2:$C$1501,$A29,Registro!$B$2:$B$1501,"Escala CBO"))</f>
        <v/>
      </c>
      <c r="Q29" s="10">
        <f>IF(N(P29)&gt;0,O29/P29,"")</f>
        <v/>
      </c>
      <c r="R29" s="11">
        <f>IF(N(O29)&gt;0,SUMIFS(Registro!$I$2:$I$1501,Registro!$C$2:$C$1501,$A29,Registro!$B$2:$B$1501,"Escala CBO")/O29,"")</f>
        <v/>
      </c>
      <c r="S29" s="10">
        <f>IF(N(O29)&gt;0,SUMIFS(Registro!$I$2:$I$1501,Registro!$C$2:$C$1501,$A29,Registro!$B$2:$B$1501,"Escala CBO")*(1-COM-COM_SHOP)-O29*(1+IMP_META),"")</f>
        <v/>
      </c>
      <c r="T29" s="9">
        <f>IF(N(O29)=0,"",IF(P29=0,IF(O29&gt;=K_SIN_VENTA*CPA_BE,"Sin ventas: revisar","Juntando datos"),IF(Q29&lt;=CPA_BE,"Rentable","No rentable")))</f>
        <v/>
      </c>
      <c r="U29" s="10">
        <f>IF($A29="","",N(L29)+N(S29))</f>
        <v/>
      </c>
    </row>
    <row r="30">
      <c r="A30" s="23" t="n"/>
      <c r="B30" s="23" t="n"/>
      <c r="C30" s="23" t="n"/>
      <c r="D30" s="18">
        <f>IF(COUNTIFS(Registro!$C$2:$C$1501,$A30)=0,"",_xlfn.MINIFS(Registro!$A$2:$A$1501,Registro!$C$2:$C$1501,$A30))</f>
        <v/>
      </c>
      <c r="E30" s="12">
        <f>IF($A30="","",COUNTIFS(Registro!$C$2:$C$1501,$A30,Registro!$E$2:$E$1501,"&gt;0"))</f>
        <v/>
      </c>
      <c r="F30" s="10">
        <f>IF($A30="","",SUMIFS(Registro!$E$2:$E$1501,Registro!$C$2:$C$1501,$A30,Registro!$B$2:$B$1501,"Test ABO"))</f>
        <v/>
      </c>
      <c r="G30" s="24">
        <f>IF($A30="","",F30/CPA_BE)</f>
        <v/>
      </c>
      <c r="H30" s="12">
        <f>IF($A30="","",SUMIFS(Registro!$H$2:$H$1501,Registro!$C$2:$C$1501,$A30,Registro!$B$2:$B$1501,"Test ABO"))</f>
        <v/>
      </c>
      <c r="I30" s="10">
        <f>IF(N(H30)&gt;0,F30/H30,"")</f>
        <v/>
      </c>
      <c r="J30" s="25">
        <f>IF(N(H30)&gt;0,I30/CPA_BE-1,"")</f>
        <v/>
      </c>
      <c r="K30" s="11">
        <f>IF(N(F30)&gt;0,SUMIFS(Registro!$I$2:$I$1501,Registro!$C$2:$C$1501,$A30,Registro!$B$2:$B$1501,"Test ABO")/F30,"")</f>
        <v/>
      </c>
      <c r="L30" s="10">
        <f>IF(N(F30)&gt;0,SUMIFS(Registro!$I$2:$I$1501,Registro!$C$2:$C$1501,$A30,Registro!$B$2:$B$1501,"Test ABO")*(1-COM-COM_SHOP)-F30*(1+IMP_META),"")</f>
        <v/>
      </c>
      <c r="M30" s="13">
        <f>IF(SUMIFS(Registro!$F$2:$F$1501,Registro!$C$2:$C$1501,$A30,Registro!$B$2:$B$1501,"Test ABO")&gt;0,SUMIFS(Registro!$G$2:$G$1501,Registro!$C$2:$C$1501,$A30,Registro!$B$2:$B$1501,"Test ABO")/SUMIFS(Registro!$F$2:$F$1501,Registro!$C$2:$C$1501,$A30,Registro!$B$2:$B$1501,"Test ABO"),"")</f>
        <v/>
      </c>
      <c r="N30" s="9">
        <f>IF($A30="","",IF(N(F30)=0,"Sin datos",IF(AND(H30&gt;=MIN_VENTAS,N(I30)&lt;=CPA_BE),"GANADOR → pasar a CBO",IF(AND(H30=0,F30&gt;=K_SIN_VENTA*CPA_BE),"APAGAR (sin ventas)",IF(AND(H30&gt;0,F30&gt;=K_CARO*CPA_BE,N(I30)&gt;CPA_BE*(1+TOL)),"APAGAR (CPA alto)",IF(AND(H30&gt;0,N(I30)&lt;=CPA_BE*(1+TOL)),"Prometedor / cerca del BE","Juntando datos"))))))</f>
        <v/>
      </c>
      <c r="O30" s="10">
        <f>IF($A30="","",SUMIFS(Registro!$E$2:$E$1501,Registro!$C$2:$C$1501,$A30,Registro!$B$2:$B$1501,"Escala CBO"))</f>
        <v/>
      </c>
      <c r="P30" s="12">
        <f>IF($A30="","",SUMIFS(Registro!$H$2:$H$1501,Registro!$C$2:$C$1501,$A30,Registro!$B$2:$B$1501,"Escala CBO"))</f>
        <v/>
      </c>
      <c r="Q30" s="10">
        <f>IF(N(P30)&gt;0,O30/P30,"")</f>
        <v/>
      </c>
      <c r="R30" s="11">
        <f>IF(N(O30)&gt;0,SUMIFS(Registro!$I$2:$I$1501,Registro!$C$2:$C$1501,$A30,Registro!$B$2:$B$1501,"Escala CBO")/O30,"")</f>
        <v/>
      </c>
      <c r="S30" s="10">
        <f>IF(N(O30)&gt;0,SUMIFS(Registro!$I$2:$I$1501,Registro!$C$2:$C$1501,$A30,Registro!$B$2:$B$1501,"Escala CBO")*(1-COM-COM_SHOP)-O30*(1+IMP_META),"")</f>
        <v/>
      </c>
      <c r="T30" s="9">
        <f>IF(N(O30)=0,"",IF(P30=0,IF(O30&gt;=K_SIN_VENTA*CPA_BE,"Sin ventas: revisar","Juntando datos"),IF(Q30&lt;=CPA_BE,"Rentable","No rentable")))</f>
        <v/>
      </c>
      <c r="U30" s="10">
        <f>IF($A30="","",N(L30)+N(S30))</f>
        <v/>
      </c>
    </row>
    <row r="31">
      <c r="A31" s="23" t="n"/>
      <c r="B31" s="23" t="n"/>
      <c r="C31" s="23" t="n"/>
      <c r="D31" s="18">
        <f>IF(COUNTIFS(Registro!$C$2:$C$1501,$A31)=0,"",_xlfn.MINIFS(Registro!$A$2:$A$1501,Registro!$C$2:$C$1501,$A31))</f>
        <v/>
      </c>
      <c r="E31" s="12">
        <f>IF($A31="","",COUNTIFS(Registro!$C$2:$C$1501,$A31,Registro!$E$2:$E$1501,"&gt;0"))</f>
        <v/>
      </c>
      <c r="F31" s="10">
        <f>IF($A31="","",SUMIFS(Registro!$E$2:$E$1501,Registro!$C$2:$C$1501,$A31,Registro!$B$2:$B$1501,"Test ABO"))</f>
        <v/>
      </c>
      <c r="G31" s="24">
        <f>IF($A31="","",F31/CPA_BE)</f>
        <v/>
      </c>
      <c r="H31" s="12">
        <f>IF($A31="","",SUMIFS(Registro!$H$2:$H$1501,Registro!$C$2:$C$1501,$A31,Registro!$B$2:$B$1501,"Test ABO"))</f>
        <v/>
      </c>
      <c r="I31" s="10">
        <f>IF(N(H31)&gt;0,F31/H31,"")</f>
        <v/>
      </c>
      <c r="J31" s="25">
        <f>IF(N(H31)&gt;0,I31/CPA_BE-1,"")</f>
        <v/>
      </c>
      <c r="K31" s="11">
        <f>IF(N(F31)&gt;0,SUMIFS(Registro!$I$2:$I$1501,Registro!$C$2:$C$1501,$A31,Registro!$B$2:$B$1501,"Test ABO")/F31,"")</f>
        <v/>
      </c>
      <c r="L31" s="10">
        <f>IF(N(F31)&gt;0,SUMIFS(Registro!$I$2:$I$1501,Registro!$C$2:$C$1501,$A31,Registro!$B$2:$B$1501,"Test ABO")*(1-COM-COM_SHOP)-F31*(1+IMP_META),"")</f>
        <v/>
      </c>
      <c r="M31" s="13">
        <f>IF(SUMIFS(Registro!$F$2:$F$1501,Registro!$C$2:$C$1501,$A31,Registro!$B$2:$B$1501,"Test ABO")&gt;0,SUMIFS(Registro!$G$2:$G$1501,Registro!$C$2:$C$1501,$A31,Registro!$B$2:$B$1501,"Test ABO")/SUMIFS(Registro!$F$2:$F$1501,Registro!$C$2:$C$1501,$A31,Registro!$B$2:$B$1501,"Test ABO"),"")</f>
        <v/>
      </c>
      <c r="N31" s="9">
        <f>IF($A31="","",IF(N(F31)=0,"Sin datos",IF(AND(H31&gt;=MIN_VENTAS,N(I31)&lt;=CPA_BE),"GANADOR → pasar a CBO",IF(AND(H31=0,F31&gt;=K_SIN_VENTA*CPA_BE),"APAGAR (sin ventas)",IF(AND(H31&gt;0,F31&gt;=K_CARO*CPA_BE,N(I31)&gt;CPA_BE*(1+TOL)),"APAGAR (CPA alto)",IF(AND(H31&gt;0,N(I31)&lt;=CPA_BE*(1+TOL)),"Prometedor / cerca del BE","Juntando datos"))))))</f>
        <v/>
      </c>
      <c r="O31" s="10">
        <f>IF($A31="","",SUMIFS(Registro!$E$2:$E$1501,Registro!$C$2:$C$1501,$A31,Registro!$B$2:$B$1501,"Escala CBO"))</f>
        <v/>
      </c>
      <c r="P31" s="12">
        <f>IF($A31="","",SUMIFS(Registro!$H$2:$H$1501,Registro!$C$2:$C$1501,$A31,Registro!$B$2:$B$1501,"Escala CBO"))</f>
        <v/>
      </c>
      <c r="Q31" s="10">
        <f>IF(N(P31)&gt;0,O31/P31,"")</f>
        <v/>
      </c>
      <c r="R31" s="11">
        <f>IF(N(O31)&gt;0,SUMIFS(Registro!$I$2:$I$1501,Registro!$C$2:$C$1501,$A31,Registro!$B$2:$B$1501,"Escala CBO")/O31,"")</f>
        <v/>
      </c>
      <c r="S31" s="10">
        <f>IF(N(O31)&gt;0,SUMIFS(Registro!$I$2:$I$1501,Registro!$C$2:$C$1501,$A31,Registro!$B$2:$B$1501,"Escala CBO")*(1-COM-COM_SHOP)-O31*(1+IMP_META),"")</f>
        <v/>
      </c>
      <c r="T31" s="9">
        <f>IF(N(O31)=0,"",IF(P31=0,IF(O31&gt;=K_SIN_VENTA*CPA_BE,"Sin ventas: revisar","Juntando datos"),IF(Q31&lt;=CPA_BE,"Rentable","No rentable")))</f>
        <v/>
      </c>
      <c r="U31" s="10">
        <f>IF($A31="","",N(L31)+N(S31))</f>
        <v/>
      </c>
    </row>
    <row r="32">
      <c r="A32" s="23" t="n"/>
      <c r="B32" s="23" t="n"/>
      <c r="C32" s="23" t="n"/>
      <c r="D32" s="18">
        <f>IF(COUNTIFS(Registro!$C$2:$C$1501,$A32)=0,"",_xlfn.MINIFS(Registro!$A$2:$A$1501,Registro!$C$2:$C$1501,$A32))</f>
        <v/>
      </c>
      <c r="E32" s="12">
        <f>IF($A32="","",COUNTIFS(Registro!$C$2:$C$1501,$A32,Registro!$E$2:$E$1501,"&gt;0"))</f>
        <v/>
      </c>
      <c r="F32" s="10">
        <f>IF($A32="","",SUMIFS(Registro!$E$2:$E$1501,Registro!$C$2:$C$1501,$A32,Registro!$B$2:$B$1501,"Test ABO"))</f>
        <v/>
      </c>
      <c r="G32" s="24">
        <f>IF($A32="","",F32/CPA_BE)</f>
        <v/>
      </c>
      <c r="H32" s="12">
        <f>IF($A32="","",SUMIFS(Registro!$H$2:$H$1501,Registro!$C$2:$C$1501,$A32,Registro!$B$2:$B$1501,"Test ABO"))</f>
        <v/>
      </c>
      <c r="I32" s="10">
        <f>IF(N(H32)&gt;0,F32/H32,"")</f>
        <v/>
      </c>
      <c r="J32" s="25">
        <f>IF(N(H32)&gt;0,I32/CPA_BE-1,"")</f>
        <v/>
      </c>
      <c r="K32" s="11">
        <f>IF(N(F32)&gt;0,SUMIFS(Registro!$I$2:$I$1501,Registro!$C$2:$C$1501,$A32,Registro!$B$2:$B$1501,"Test ABO")/F32,"")</f>
        <v/>
      </c>
      <c r="L32" s="10">
        <f>IF(N(F32)&gt;0,SUMIFS(Registro!$I$2:$I$1501,Registro!$C$2:$C$1501,$A32,Registro!$B$2:$B$1501,"Test ABO")*(1-COM-COM_SHOP)-F32*(1+IMP_META),"")</f>
        <v/>
      </c>
      <c r="M32" s="13">
        <f>IF(SUMIFS(Registro!$F$2:$F$1501,Registro!$C$2:$C$1501,$A32,Registro!$B$2:$B$1501,"Test ABO")&gt;0,SUMIFS(Registro!$G$2:$G$1501,Registro!$C$2:$C$1501,$A32,Registro!$B$2:$B$1501,"Test ABO")/SUMIFS(Registro!$F$2:$F$1501,Registro!$C$2:$C$1501,$A32,Registro!$B$2:$B$1501,"Test ABO"),"")</f>
        <v/>
      </c>
      <c r="N32" s="9">
        <f>IF($A32="","",IF(N(F32)=0,"Sin datos",IF(AND(H32&gt;=MIN_VENTAS,N(I32)&lt;=CPA_BE),"GANADOR → pasar a CBO",IF(AND(H32=0,F32&gt;=K_SIN_VENTA*CPA_BE),"APAGAR (sin ventas)",IF(AND(H32&gt;0,F32&gt;=K_CARO*CPA_BE,N(I32)&gt;CPA_BE*(1+TOL)),"APAGAR (CPA alto)",IF(AND(H32&gt;0,N(I32)&lt;=CPA_BE*(1+TOL)),"Prometedor / cerca del BE","Juntando datos"))))))</f>
        <v/>
      </c>
      <c r="O32" s="10">
        <f>IF($A32="","",SUMIFS(Registro!$E$2:$E$1501,Registro!$C$2:$C$1501,$A32,Registro!$B$2:$B$1501,"Escala CBO"))</f>
        <v/>
      </c>
      <c r="P32" s="12">
        <f>IF($A32="","",SUMIFS(Registro!$H$2:$H$1501,Registro!$C$2:$C$1501,$A32,Registro!$B$2:$B$1501,"Escala CBO"))</f>
        <v/>
      </c>
      <c r="Q32" s="10">
        <f>IF(N(P32)&gt;0,O32/P32,"")</f>
        <v/>
      </c>
      <c r="R32" s="11">
        <f>IF(N(O32)&gt;0,SUMIFS(Registro!$I$2:$I$1501,Registro!$C$2:$C$1501,$A32,Registro!$B$2:$B$1501,"Escala CBO")/O32,"")</f>
        <v/>
      </c>
      <c r="S32" s="10">
        <f>IF(N(O32)&gt;0,SUMIFS(Registro!$I$2:$I$1501,Registro!$C$2:$C$1501,$A32,Registro!$B$2:$B$1501,"Escala CBO")*(1-COM-COM_SHOP)-O32*(1+IMP_META),"")</f>
        <v/>
      </c>
      <c r="T32" s="9">
        <f>IF(N(O32)=0,"",IF(P32=0,IF(O32&gt;=K_SIN_VENTA*CPA_BE,"Sin ventas: revisar","Juntando datos"),IF(Q32&lt;=CPA_BE,"Rentable","No rentable")))</f>
        <v/>
      </c>
      <c r="U32" s="10">
        <f>IF($A32="","",N(L32)+N(S32))</f>
        <v/>
      </c>
    </row>
    <row r="33">
      <c r="A33" s="23" t="n"/>
      <c r="B33" s="23" t="n"/>
      <c r="C33" s="23" t="n"/>
      <c r="D33" s="18">
        <f>IF(COUNTIFS(Registro!$C$2:$C$1501,$A33)=0,"",_xlfn.MINIFS(Registro!$A$2:$A$1501,Registro!$C$2:$C$1501,$A33))</f>
        <v/>
      </c>
      <c r="E33" s="12">
        <f>IF($A33="","",COUNTIFS(Registro!$C$2:$C$1501,$A33,Registro!$E$2:$E$1501,"&gt;0"))</f>
        <v/>
      </c>
      <c r="F33" s="10">
        <f>IF($A33="","",SUMIFS(Registro!$E$2:$E$1501,Registro!$C$2:$C$1501,$A33,Registro!$B$2:$B$1501,"Test ABO"))</f>
        <v/>
      </c>
      <c r="G33" s="24">
        <f>IF($A33="","",F33/CPA_BE)</f>
        <v/>
      </c>
      <c r="H33" s="12">
        <f>IF($A33="","",SUMIFS(Registro!$H$2:$H$1501,Registro!$C$2:$C$1501,$A33,Registro!$B$2:$B$1501,"Test ABO"))</f>
        <v/>
      </c>
      <c r="I33" s="10">
        <f>IF(N(H33)&gt;0,F33/H33,"")</f>
        <v/>
      </c>
      <c r="J33" s="25">
        <f>IF(N(H33)&gt;0,I33/CPA_BE-1,"")</f>
        <v/>
      </c>
      <c r="K33" s="11">
        <f>IF(N(F33)&gt;0,SUMIFS(Registro!$I$2:$I$1501,Registro!$C$2:$C$1501,$A33,Registro!$B$2:$B$1501,"Test ABO")/F33,"")</f>
        <v/>
      </c>
      <c r="L33" s="10">
        <f>IF(N(F33)&gt;0,SUMIFS(Registro!$I$2:$I$1501,Registro!$C$2:$C$1501,$A33,Registro!$B$2:$B$1501,"Test ABO")*(1-COM-COM_SHOP)-F33*(1+IMP_META),"")</f>
        <v/>
      </c>
      <c r="M33" s="13">
        <f>IF(SUMIFS(Registro!$F$2:$F$1501,Registro!$C$2:$C$1501,$A33,Registro!$B$2:$B$1501,"Test ABO")&gt;0,SUMIFS(Registro!$G$2:$G$1501,Registro!$C$2:$C$1501,$A33,Registro!$B$2:$B$1501,"Test ABO")/SUMIFS(Registro!$F$2:$F$1501,Registro!$C$2:$C$1501,$A33,Registro!$B$2:$B$1501,"Test ABO"),"")</f>
        <v/>
      </c>
      <c r="N33" s="9">
        <f>IF($A33="","",IF(N(F33)=0,"Sin datos",IF(AND(H33&gt;=MIN_VENTAS,N(I33)&lt;=CPA_BE),"GANADOR → pasar a CBO",IF(AND(H33=0,F33&gt;=K_SIN_VENTA*CPA_BE),"APAGAR (sin ventas)",IF(AND(H33&gt;0,F33&gt;=K_CARO*CPA_BE,N(I33)&gt;CPA_BE*(1+TOL)),"APAGAR (CPA alto)",IF(AND(H33&gt;0,N(I33)&lt;=CPA_BE*(1+TOL)),"Prometedor / cerca del BE","Juntando datos"))))))</f>
        <v/>
      </c>
      <c r="O33" s="10">
        <f>IF($A33="","",SUMIFS(Registro!$E$2:$E$1501,Registro!$C$2:$C$1501,$A33,Registro!$B$2:$B$1501,"Escala CBO"))</f>
        <v/>
      </c>
      <c r="P33" s="12">
        <f>IF($A33="","",SUMIFS(Registro!$H$2:$H$1501,Registro!$C$2:$C$1501,$A33,Registro!$B$2:$B$1501,"Escala CBO"))</f>
        <v/>
      </c>
      <c r="Q33" s="10">
        <f>IF(N(P33)&gt;0,O33/P33,"")</f>
        <v/>
      </c>
      <c r="R33" s="11">
        <f>IF(N(O33)&gt;0,SUMIFS(Registro!$I$2:$I$1501,Registro!$C$2:$C$1501,$A33,Registro!$B$2:$B$1501,"Escala CBO")/O33,"")</f>
        <v/>
      </c>
      <c r="S33" s="10">
        <f>IF(N(O33)&gt;0,SUMIFS(Registro!$I$2:$I$1501,Registro!$C$2:$C$1501,$A33,Registro!$B$2:$B$1501,"Escala CBO")*(1-COM-COM_SHOP)-O33*(1+IMP_META),"")</f>
        <v/>
      </c>
      <c r="T33" s="9">
        <f>IF(N(O33)=0,"",IF(P33=0,IF(O33&gt;=K_SIN_VENTA*CPA_BE,"Sin ventas: revisar","Juntando datos"),IF(Q33&lt;=CPA_BE,"Rentable","No rentable")))</f>
        <v/>
      </c>
      <c r="U33" s="10">
        <f>IF($A33="","",N(L33)+N(S33))</f>
        <v/>
      </c>
    </row>
    <row r="34">
      <c r="A34" s="23" t="n"/>
      <c r="B34" s="23" t="n"/>
      <c r="C34" s="23" t="n"/>
      <c r="D34" s="18">
        <f>IF(COUNTIFS(Registro!$C$2:$C$1501,$A34)=0,"",_xlfn.MINIFS(Registro!$A$2:$A$1501,Registro!$C$2:$C$1501,$A34))</f>
        <v/>
      </c>
      <c r="E34" s="12">
        <f>IF($A34="","",COUNTIFS(Registro!$C$2:$C$1501,$A34,Registro!$E$2:$E$1501,"&gt;0"))</f>
        <v/>
      </c>
      <c r="F34" s="10">
        <f>IF($A34="","",SUMIFS(Registro!$E$2:$E$1501,Registro!$C$2:$C$1501,$A34,Registro!$B$2:$B$1501,"Test ABO"))</f>
        <v/>
      </c>
      <c r="G34" s="24">
        <f>IF($A34="","",F34/CPA_BE)</f>
        <v/>
      </c>
      <c r="H34" s="12">
        <f>IF($A34="","",SUMIFS(Registro!$H$2:$H$1501,Registro!$C$2:$C$1501,$A34,Registro!$B$2:$B$1501,"Test ABO"))</f>
        <v/>
      </c>
      <c r="I34" s="10">
        <f>IF(N(H34)&gt;0,F34/H34,"")</f>
        <v/>
      </c>
      <c r="J34" s="25">
        <f>IF(N(H34)&gt;0,I34/CPA_BE-1,"")</f>
        <v/>
      </c>
      <c r="K34" s="11">
        <f>IF(N(F34)&gt;0,SUMIFS(Registro!$I$2:$I$1501,Registro!$C$2:$C$1501,$A34,Registro!$B$2:$B$1501,"Test ABO")/F34,"")</f>
        <v/>
      </c>
      <c r="L34" s="10">
        <f>IF(N(F34)&gt;0,SUMIFS(Registro!$I$2:$I$1501,Registro!$C$2:$C$1501,$A34,Registro!$B$2:$B$1501,"Test ABO")*(1-COM-COM_SHOP)-F34*(1+IMP_META),"")</f>
        <v/>
      </c>
      <c r="M34" s="13">
        <f>IF(SUMIFS(Registro!$F$2:$F$1501,Registro!$C$2:$C$1501,$A34,Registro!$B$2:$B$1501,"Test ABO")&gt;0,SUMIFS(Registro!$G$2:$G$1501,Registro!$C$2:$C$1501,$A34,Registro!$B$2:$B$1501,"Test ABO")/SUMIFS(Registro!$F$2:$F$1501,Registro!$C$2:$C$1501,$A34,Registro!$B$2:$B$1501,"Test ABO"),"")</f>
        <v/>
      </c>
      <c r="N34" s="9">
        <f>IF($A34="","",IF(N(F34)=0,"Sin datos",IF(AND(H34&gt;=MIN_VENTAS,N(I34)&lt;=CPA_BE),"GANADOR → pasar a CBO",IF(AND(H34=0,F34&gt;=K_SIN_VENTA*CPA_BE),"APAGAR (sin ventas)",IF(AND(H34&gt;0,F34&gt;=K_CARO*CPA_BE,N(I34)&gt;CPA_BE*(1+TOL)),"APAGAR (CPA alto)",IF(AND(H34&gt;0,N(I34)&lt;=CPA_BE*(1+TOL)),"Prometedor / cerca del BE","Juntando datos"))))))</f>
        <v/>
      </c>
      <c r="O34" s="10">
        <f>IF($A34="","",SUMIFS(Registro!$E$2:$E$1501,Registro!$C$2:$C$1501,$A34,Registro!$B$2:$B$1501,"Escala CBO"))</f>
        <v/>
      </c>
      <c r="P34" s="12">
        <f>IF($A34="","",SUMIFS(Registro!$H$2:$H$1501,Registro!$C$2:$C$1501,$A34,Registro!$B$2:$B$1501,"Escala CBO"))</f>
        <v/>
      </c>
      <c r="Q34" s="10">
        <f>IF(N(P34)&gt;0,O34/P34,"")</f>
        <v/>
      </c>
      <c r="R34" s="11">
        <f>IF(N(O34)&gt;0,SUMIFS(Registro!$I$2:$I$1501,Registro!$C$2:$C$1501,$A34,Registro!$B$2:$B$1501,"Escala CBO")/O34,"")</f>
        <v/>
      </c>
      <c r="S34" s="10">
        <f>IF(N(O34)&gt;0,SUMIFS(Registro!$I$2:$I$1501,Registro!$C$2:$C$1501,$A34,Registro!$B$2:$B$1501,"Escala CBO")*(1-COM-COM_SHOP)-O34*(1+IMP_META),"")</f>
        <v/>
      </c>
      <c r="T34" s="9">
        <f>IF(N(O34)=0,"",IF(P34=0,IF(O34&gt;=K_SIN_VENTA*CPA_BE,"Sin ventas: revisar","Juntando datos"),IF(Q34&lt;=CPA_BE,"Rentable","No rentable")))</f>
        <v/>
      </c>
      <c r="U34" s="10">
        <f>IF($A34="","",N(L34)+N(S34))</f>
        <v/>
      </c>
    </row>
    <row r="35">
      <c r="A35" s="23" t="n"/>
      <c r="B35" s="23" t="n"/>
      <c r="C35" s="23" t="n"/>
      <c r="D35" s="18">
        <f>IF(COUNTIFS(Registro!$C$2:$C$1501,$A35)=0,"",_xlfn.MINIFS(Registro!$A$2:$A$1501,Registro!$C$2:$C$1501,$A35))</f>
        <v/>
      </c>
      <c r="E35" s="12">
        <f>IF($A35="","",COUNTIFS(Registro!$C$2:$C$1501,$A35,Registro!$E$2:$E$1501,"&gt;0"))</f>
        <v/>
      </c>
      <c r="F35" s="10">
        <f>IF($A35="","",SUMIFS(Registro!$E$2:$E$1501,Registro!$C$2:$C$1501,$A35,Registro!$B$2:$B$1501,"Test ABO"))</f>
        <v/>
      </c>
      <c r="G35" s="24">
        <f>IF($A35="","",F35/CPA_BE)</f>
        <v/>
      </c>
      <c r="H35" s="12">
        <f>IF($A35="","",SUMIFS(Registro!$H$2:$H$1501,Registro!$C$2:$C$1501,$A35,Registro!$B$2:$B$1501,"Test ABO"))</f>
        <v/>
      </c>
      <c r="I35" s="10">
        <f>IF(N(H35)&gt;0,F35/H35,"")</f>
        <v/>
      </c>
      <c r="J35" s="25">
        <f>IF(N(H35)&gt;0,I35/CPA_BE-1,"")</f>
        <v/>
      </c>
      <c r="K35" s="11">
        <f>IF(N(F35)&gt;0,SUMIFS(Registro!$I$2:$I$1501,Registro!$C$2:$C$1501,$A35,Registro!$B$2:$B$1501,"Test ABO")/F35,"")</f>
        <v/>
      </c>
      <c r="L35" s="10">
        <f>IF(N(F35)&gt;0,SUMIFS(Registro!$I$2:$I$1501,Registro!$C$2:$C$1501,$A35,Registro!$B$2:$B$1501,"Test ABO")*(1-COM-COM_SHOP)-F35*(1+IMP_META),"")</f>
        <v/>
      </c>
      <c r="M35" s="13">
        <f>IF(SUMIFS(Registro!$F$2:$F$1501,Registro!$C$2:$C$1501,$A35,Registro!$B$2:$B$1501,"Test ABO")&gt;0,SUMIFS(Registro!$G$2:$G$1501,Registro!$C$2:$C$1501,$A35,Registro!$B$2:$B$1501,"Test ABO")/SUMIFS(Registro!$F$2:$F$1501,Registro!$C$2:$C$1501,$A35,Registro!$B$2:$B$1501,"Test ABO"),"")</f>
        <v/>
      </c>
      <c r="N35" s="9">
        <f>IF($A35="","",IF(N(F35)=0,"Sin datos",IF(AND(H35&gt;=MIN_VENTAS,N(I35)&lt;=CPA_BE),"GANADOR → pasar a CBO",IF(AND(H35=0,F35&gt;=K_SIN_VENTA*CPA_BE),"APAGAR (sin ventas)",IF(AND(H35&gt;0,F35&gt;=K_CARO*CPA_BE,N(I35)&gt;CPA_BE*(1+TOL)),"APAGAR (CPA alto)",IF(AND(H35&gt;0,N(I35)&lt;=CPA_BE*(1+TOL)),"Prometedor / cerca del BE","Juntando datos"))))))</f>
        <v/>
      </c>
      <c r="O35" s="10">
        <f>IF($A35="","",SUMIFS(Registro!$E$2:$E$1501,Registro!$C$2:$C$1501,$A35,Registro!$B$2:$B$1501,"Escala CBO"))</f>
        <v/>
      </c>
      <c r="P35" s="12">
        <f>IF($A35="","",SUMIFS(Registro!$H$2:$H$1501,Registro!$C$2:$C$1501,$A35,Registro!$B$2:$B$1501,"Escala CBO"))</f>
        <v/>
      </c>
      <c r="Q35" s="10">
        <f>IF(N(P35)&gt;0,O35/P35,"")</f>
        <v/>
      </c>
      <c r="R35" s="11">
        <f>IF(N(O35)&gt;0,SUMIFS(Registro!$I$2:$I$1501,Registro!$C$2:$C$1501,$A35,Registro!$B$2:$B$1501,"Escala CBO")/O35,"")</f>
        <v/>
      </c>
      <c r="S35" s="10">
        <f>IF(N(O35)&gt;0,SUMIFS(Registro!$I$2:$I$1501,Registro!$C$2:$C$1501,$A35,Registro!$B$2:$B$1501,"Escala CBO")*(1-COM-COM_SHOP)-O35*(1+IMP_META),"")</f>
        <v/>
      </c>
      <c r="T35" s="9">
        <f>IF(N(O35)=0,"",IF(P35=0,IF(O35&gt;=K_SIN_VENTA*CPA_BE,"Sin ventas: revisar","Juntando datos"),IF(Q35&lt;=CPA_BE,"Rentable","No rentable")))</f>
        <v/>
      </c>
      <c r="U35" s="10">
        <f>IF($A35="","",N(L35)+N(S35))</f>
        <v/>
      </c>
    </row>
    <row r="36">
      <c r="A36" s="23" t="n"/>
      <c r="B36" s="23" t="n"/>
      <c r="C36" s="23" t="n"/>
      <c r="D36" s="18">
        <f>IF(COUNTIFS(Registro!$C$2:$C$1501,$A36)=0,"",_xlfn.MINIFS(Registro!$A$2:$A$1501,Registro!$C$2:$C$1501,$A36))</f>
        <v/>
      </c>
      <c r="E36" s="12">
        <f>IF($A36="","",COUNTIFS(Registro!$C$2:$C$1501,$A36,Registro!$E$2:$E$1501,"&gt;0"))</f>
        <v/>
      </c>
      <c r="F36" s="10">
        <f>IF($A36="","",SUMIFS(Registro!$E$2:$E$1501,Registro!$C$2:$C$1501,$A36,Registro!$B$2:$B$1501,"Test ABO"))</f>
        <v/>
      </c>
      <c r="G36" s="24">
        <f>IF($A36="","",F36/CPA_BE)</f>
        <v/>
      </c>
      <c r="H36" s="12">
        <f>IF($A36="","",SUMIFS(Registro!$H$2:$H$1501,Registro!$C$2:$C$1501,$A36,Registro!$B$2:$B$1501,"Test ABO"))</f>
        <v/>
      </c>
      <c r="I36" s="10">
        <f>IF(N(H36)&gt;0,F36/H36,"")</f>
        <v/>
      </c>
      <c r="J36" s="25">
        <f>IF(N(H36)&gt;0,I36/CPA_BE-1,"")</f>
        <v/>
      </c>
      <c r="K36" s="11">
        <f>IF(N(F36)&gt;0,SUMIFS(Registro!$I$2:$I$1501,Registro!$C$2:$C$1501,$A36,Registro!$B$2:$B$1501,"Test ABO")/F36,"")</f>
        <v/>
      </c>
      <c r="L36" s="10">
        <f>IF(N(F36)&gt;0,SUMIFS(Registro!$I$2:$I$1501,Registro!$C$2:$C$1501,$A36,Registro!$B$2:$B$1501,"Test ABO")*(1-COM-COM_SHOP)-F36*(1+IMP_META),"")</f>
        <v/>
      </c>
      <c r="M36" s="13">
        <f>IF(SUMIFS(Registro!$F$2:$F$1501,Registro!$C$2:$C$1501,$A36,Registro!$B$2:$B$1501,"Test ABO")&gt;0,SUMIFS(Registro!$G$2:$G$1501,Registro!$C$2:$C$1501,$A36,Registro!$B$2:$B$1501,"Test ABO")/SUMIFS(Registro!$F$2:$F$1501,Registro!$C$2:$C$1501,$A36,Registro!$B$2:$B$1501,"Test ABO"),"")</f>
        <v/>
      </c>
      <c r="N36" s="9">
        <f>IF($A36="","",IF(N(F36)=0,"Sin datos",IF(AND(H36&gt;=MIN_VENTAS,N(I36)&lt;=CPA_BE),"GANADOR → pasar a CBO",IF(AND(H36=0,F36&gt;=K_SIN_VENTA*CPA_BE),"APAGAR (sin ventas)",IF(AND(H36&gt;0,F36&gt;=K_CARO*CPA_BE,N(I36)&gt;CPA_BE*(1+TOL)),"APAGAR (CPA alto)",IF(AND(H36&gt;0,N(I36)&lt;=CPA_BE*(1+TOL)),"Prometedor / cerca del BE","Juntando datos"))))))</f>
        <v/>
      </c>
      <c r="O36" s="10">
        <f>IF($A36="","",SUMIFS(Registro!$E$2:$E$1501,Registro!$C$2:$C$1501,$A36,Registro!$B$2:$B$1501,"Escala CBO"))</f>
        <v/>
      </c>
      <c r="P36" s="12">
        <f>IF($A36="","",SUMIFS(Registro!$H$2:$H$1501,Registro!$C$2:$C$1501,$A36,Registro!$B$2:$B$1501,"Escala CBO"))</f>
        <v/>
      </c>
      <c r="Q36" s="10">
        <f>IF(N(P36)&gt;0,O36/P36,"")</f>
        <v/>
      </c>
      <c r="R36" s="11">
        <f>IF(N(O36)&gt;0,SUMIFS(Registro!$I$2:$I$1501,Registro!$C$2:$C$1501,$A36,Registro!$B$2:$B$1501,"Escala CBO")/O36,"")</f>
        <v/>
      </c>
      <c r="S36" s="10">
        <f>IF(N(O36)&gt;0,SUMIFS(Registro!$I$2:$I$1501,Registro!$C$2:$C$1501,$A36,Registro!$B$2:$B$1501,"Escala CBO")*(1-COM-COM_SHOP)-O36*(1+IMP_META),"")</f>
        <v/>
      </c>
      <c r="T36" s="9">
        <f>IF(N(O36)=0,"",IF(P36=0,IF(O36&gt;=K_SIN_VENTA*CPA_BE,"Sin ventas: revisar","Juntando datos"),IF(Q36&lt;=CPA_BE,"Rentable","No rentable")))</f>
        <v/>
      </c>
      <c r="U36" s="10">
        <f>IF($A36="","",N(L36)+N(S36))</f>
        <v/>
      </c>
    </row>
    <row r="37">
      <c r="A37" s="23" t="n"/>
      <c r="B37" s="23" t="n"/>
      <c r="C37" s="23" t="n"/>
      <c r="D37" s="18">
        <f>IF(COUNTIFS(Registro!$C$2:$C$1501,$A37)=0,"",_xlfn.MINIFS(Registro!$A$2:$A$1501,Registro!$C$2:$C$1501,$A37))</f>
        <v/>
      </c>
      <c r="E37" s="12">
        <f>IF($A37="","",COUNTIFS(Registro!$C$2:$C$1501,$A37,Registro!$E$2:$E$1501,"&gt;0"))</f>
        <v/>
      </c>
      <c r="F37" s="10">
        <f>IF($A37="","",SUMIFS(Registro!$E$2:$E$1501,Registro!$C$2:$C$1501,$A37,Registro!$B$2:$B$1501,"Test ABO"))</f>
        <v/>
      </c>
      <c r="G37" s="24">
        <f>IF($A37="","",F37/CPA_BE)</f>
        <v/>
      </c>
      <c r="H37" s="12">
        <f>IF($A37="","",SUMIFS(Registro!$H$2:$H$1501,Registro!$C$2:$C$1501,$A37,Registro!$B$2:$B$1501,"Test ABO"))</f>
        <v/>
      </c>
      <c r="I37" s="10">
        <f>IF(N(H37)&gt;0,F37/H37,"")</f>
        <v/>
      </c>
      <c r="J37" s="25">
        <f>IF(N(H37)&gt;0,I37/CPA_BE-1,"")</f>
        <v/>
      </c>
      <c r="K37" s="11">
        <f>IF(N(F37)&gt;0,SUMIFS(Registro!$I$2:$I$1501,Registro!$C$2:$C$1501,$A37,Registro!$B$2:$B$1501,"Test ABO")/F37,"")</f>
        <v/>
      </c>
      <c r="L37" s="10">
        <f>IF(N(F37)&gt;0,SUMIFS(Registro!$I$2:$I$1501,Registro!$C$2:$C$1501,$A37,Registro!$B$2:$B$1501,"Test ABO")*(1-COM-COM_SHOP)-F37*(1+IMP_META),"")</f>
        <v/>
      </c>
      <c r="M37" s="13">
        <f>IF(SUMIFS(Registro!$F$2:$F$1501,Registro!$C$2:$C$1501,$A37,Registro!$B$2:$B$1501,"Test ABO")&gt;0,SUMIFS(Registro!$G$2:$G$1501,Registro!$C$2:$C$1501,$A37,Registro!$B$2:$B$1501,"Test ABO")/SUMIFS(Registro!$F$2:$F$1501,Registro!$C$2:$C$1501,$A37,Registro!$B$2:$B$1501,"Test ABO"),"")</f>
        <v/>
      </c>
      <c r="N37" s="9">
        <f>IF($A37="","",IF(N(F37)=0,"Sin datos",IF(AND(H37&gt;=MIN_VENTAS,N(I37)&lt;=CPA_BE),"GANADOR → pasar a CBO",IF(AND(H37=0,F37&gt;=K_SIN_VENTA*CPA_BE),"APAGAR (sin ventas)",IF(AND(H37&gt;0,F37&gt;=K_CARO*CPA_BE,N(I37)&gt;CPA_BE*(1+TOL)),"APAGAR (CPA alto)",IF(AND(H37&gt;0,N(I37)&lt;=CPA_BE*(1+TOL)),"Prometedor / cerca del BE","Juntando datos"))))))</f>
        <v/>
      </c>
      <c r="O37" s="10">
        <f>IF($A37="","",SUMIFS(Registro!$E$2:$E$1501,Registro!$C$2:$C$1501,$A37,Registro!$B$2:$B$1501,"Escala CBO"))</f>
        <v/>
      </c>
      <c r="P37" s="12">
        <f>IF($A37="","",SUMIFS(Registro!$H$2:$H$1501,Registro!$C$2:$C$1501,$A37,Registro!$B$2:$B$1501,"Escala CBO"))</f>
        <v/>
      </c>
      <c r="Q37" s="10">
        <f>IF(N(P37)&gt;0,O37/P37,"")</f>
        <v/>
      </c>
      <c r="R37" s="11">
        <f>IF(N(O37)&gt;0,SUMIFS(Registro!$I$2:$I$1501,Registro!$C$2:$C$1501,$A37,Registro!$B$2:$B$1501,"Escala CBO")/O37,"")</f>
        <v/>
      </c>
      <c r="S37" s="10">
        <f>IF(N(O37)&gt;0,SUMIFS(Registro!$I$2:$I$1501,Registro!$C$2:$C$1501,$A37,Registro!$B$2:$B$1501,"Escala CBO")*(1-COM-COM_SHOP)-O37*(1+IMP_META),"")</f>
        <v/>
      </c>
      <c r="T37" s="9">
        <f>IF(N(O37)=0,"",IF(P37=0,IF(O37&gt;=K_SIN_VENTA*CPA_BE,"Sin ventas: revisar","Juntando datos"),IF(Q37&lt;=CPA_BE,"Rentable","No rentable")))</f>
        <v/>
      </c>
      <c r="U37" s="10">
        <f>IF($A37="","",N(L37)+N(S37))</f>
        <v/>
      </c>
    </row>
    <row r="38">
      <c r="A38" s="23" t="n"/>
      <c r="B38" s="23" t="n"/>
      <c r="C38" s="23" t="n"/>
      <c r="D38" s="18">
        <f>IF(COUNTIFS(Registro!$C$2:$C$1501,$A38)=0,"",_xlfn.MINIFS(Registro!$A$2:$A$1501,Registro!$C$2:$C$1501,$A38))</f>
        <v/>
      </c>
      <c r="E38" s="12">
        <f>IF($A38="","",COUNTIFS(Registro!$C$2:$C$1501,$A38,Registro!$E$2:$E$1501,"&gt;0"))</f>
        <v/>
      </c>
      <c r="F38" s="10">
        <f>IF($A38="","",SUMIFS(Registro!$E$2:$E$1501,Registro!$C$2:$C$1501,$A38,Registro!$B$2:$B$1501,"Test ABO"))</f>
        <v/>
      </c>
      <c r="G38" s="24">
        <f>IF($A38="","",F38/CPA_BE)</f>
        <v/>
      </c>
      <c r="H38" s="12">
        <f>IF($A38="","",SUMIFS(Registro!$H$2:$H$1501,Registro!$C$2:$C$1501,$A38,Registro!$B$2:$B$1501,"Test ABO"))</f>
        <v/>
      </c>
      <c r="I38" s="10">
        <f>IF(N(H38)&gt;0,F38/H38,"")</f>
        <v/>
      </c>
      <c r="J38" s="25">
        <f>IF(N(H38)&gt;0,I38/CPA_BE-1,"")</f>
        <v/>
      </c>
      <c r="K38" s="11">
        <f>IF(N(F38)&gt;0,SUMIFS(Registro!$I$2:$I$1501,Registro!$C$2:$C$1501,$A38,Registro!$B$2:$B$1501,"Test ABO")/F38,"")</f>
        <v/>
      </c>
      <c r="L38" s="10">
        <f>IF(N(F38)&gt;0,SUMIFS(Registro!$I$2:$I$1501,Registro!$C$2:$C$1501,$A38,Registro!$B$2:$B$1501,"Test ABO")*(1-COM-COM_SHOP)-F38*(1+IMP_META),"")</f>
        <v/>
      </c>
      <c r="M38" s="13">
        <f>IF(SUMIFS(Registro!$F$2:$F$1501,Registro!$C$2:$C$1501,$A38,Registro!$B$2:$B$1501,"Test ABO")&gt;0,SUMIFS(Registro!$G$2:$G$1501,Registro!$C$2:$C$1501,$A38,Registro!$B$2:$B$1501,"Test ABO")/SUMIFS(Registro!$F$2:$F$1501,Registro!$C$2:$C$1501,$A38,Registro!$B$2:$B$1501,"Test ABO"),"")</f>
        <v/>
      </c>
      <c r="N38" s="9">
        <f>IF($A38="","",IF(N(F38)=0,"Sin datos",IF(AND(H38&gt;=MIN_VENTAS,N(I38)&lt;=CPA_BE),"GANADOR → pasar a CBO",IF(AND(H38=0,F38&gt;=K_SIN_VENTA*CPA_BE),"APAGAR (sin ventas)",IF(AND(H38&gt;0,F38&gt;=K_CARO*CPA_BE,N(I38)&gt;CPA_BE*(1+TOL)),"APAGAR (CPA alto)",IF(AND(H38&gt;0,N(I38)&lt;=CPA_BE*(1+TOL)),"Prometedor / cerca del BE","Juntando datos"))))))</f>
        <v/>
      </c>
      <c r="O38" s="10">
        <f>IF($A38="","",SUMIFS(Registro!$E$2:$E$1501,Registro!$C$2:$C$1501,$A38,Registro!$B$2:$B$1501,"Escala CBO"))</f>
        <v/>
      </c>
      <c r="P38" s="12">
        <f>IF($A38="","",SUMIFS(Registro!$H$2:$H$1501,Registro!$C$2:$C$1501,$A38,Registro!$B$2:$B$1501,"Escala CBO"))</f>
        <v/>
      </c>
      <c r="Q38" s="10">
        <f>IF(N(P38)&gt;0,O38/P38,"")</f>
        <v/>
      </c>
      <c r="R38" s="11">
        <f>IF(N(O38)&gt;0,SUMIFS(Registro!$I$2:$I$1501,Registro!$C$2:$C$1501,$A38,Registro!$B$2:$B$1501,"Escala CBO")/O38,"")</f>
        <v/>
      </c>
      <c r="S38" s="10">
        <f>IF(N(O38)&gt;0,SUMIFS(Registro!$I$2:$I$1501,Registro!$C$2:$C$1501,$A38,Registro!$B$2:$B$1501,"Escala CBO")*(1-COM-COM_SHOP)-O38*(1+IMP_META),"")</f>
        <v/>
      </c>
      <c r="T38" s="9">
        <f>IF(N(O38)=0,"",IF(P38=0,IF(O38&gt;=K_SIN_VENTA*CPA_BE,"Sin ventas: revisar","Juntando datos"),IF(Q38&lt;=CPA_BE,"Rentable","No rentable")))</f>
        <v/>
      </c>
      <c r="U38" s="10">
        <f>IF($A38="","",N(L38)+N(S38))</f>
        <v/>
      </c>
    </row>
    <row r="39">
      <c r="A39" s="23" t="n"/>
      <c r="B39" s="23" t="n"/>
      <c r="C39" s="23" t="n"/>
      <c r="D39" s="18">
        <f>IF(COUNTIFS(Registro!$C$2:$C$1501,$A39)=0,"",_xlfn.MINIFS(Registro!$A$2:$A$1501,Registro!$C$2:$C$1501,$A39))</f>
        <v/>
      </c>
      <c r="E39" s="12">
        <f>IF($A39="","",COUNTIFS(Registro!$C$2:$C$1501,$A39,Registro!$E$2:$E$1501,"&gt;0"))</f>
        <v/>
      </c>
      <c r="F39" s="10">
        <f>IF($A39="","",SUMIFS(Registro!$E$2:$E$1501,Registro!$C$2:$C$1501,$A39,Registro!$B$2:$B$1501,"Test ABO"))</f>
        <v/>
      </c>
      <c r="G39" s="24">
        <f>IF($A39="","",F39/CPA_BE)</f>
        <v/>
      </c>
      <c r="H39" s="12">
        <f>IF($A39="","",SUMIFS(Registro!$H$2:$H$1501,Registro!$C$2:$C$1501,$A39,Registro!$B$2:$B$1501,"Test ABO"))</f>
        <v/>
      </c>
      <c r="I39" s="10">
        <f>IF(N(H39)&gt;0,F39/H39,"")</f>
        <v/>
      </c>
      <c r="J39" s="25">
        <f>IF(N(H39)&gt;0,I39/CPA_BE-1,"")</f>
        <v/>
      </c>
      <c r="K39" s="11">
        <f>IF(N(F39)&gt;0,SUMIFS(Registro!$I$2:$I$1501,Registro!$C$2:$C$1501,$A39,Registro!$B$2:$B$1501,"Test ABO")/F39,"")</f>
        <v/>
      </c>
      <c r="L39" s="10">
        <f>IF(N(F39)&gt;0,SUMIFS(Registro!$I$2:$I$1501,Registro!$C$2:$C$1501,$A39,Registro!$B$2:$B$1501,"Test ABO")*(1-COM-COM_SHOP)-F39*(1+IMP_META),"")</f>
        <v/>
      </c>
      <c r="M39" s="13">
        <f>IF(SUMIFS(Registro!$F$2:$F$1501,Registro!$C$2:$C$1501,$A39,Registro!$B$2:$B$1501,"Test ABO")&gt;0,SUMIFS(Registro!$G$2:$G$1501,Registro!$C$2:$C$1501,$A39,Registro!$B$2:$B$1501,"Test ABO")/SUMIFS(Registro!$F$2:$F$1501,Registro!$C$2:$C$1501,$A39,Registro!$B$2:$B$1501,"Test ABO"),"")</f>
        <v/>
      </c>
      <c r="N39" s="9">
        <f>IF($A39="","",IF(N(F39)=0,"Sin datos",IF(AND(H39&gt;=MIN_VENTAS,N(I39)&lt;=CPA_BE),"GANADOR → pasar a CBO",IF(AND(H39=0,F39&gt;=K_SIN_VENTA*CPA_BE),"APAGAR (sin ventas)",IF(AND(H39&gt;0,F39&gt;=K_CARO*CPA_BE,N(I39)&gt;CPA_BE*(1+TOL)),"APAGAR (CPA alto)",IF(AND(H39&gt;0,N(I39)&lt;=CPA_BE*(1+TOL)),"Prometedor / cerca del BE","Juntando datos"))))))</f>
        <v/>
      </c>
      <c r="O39" s="10">
        <f>IF($A39="","",SUMIFS(Registro!$E$2:$E$1501,Registro!$C$2:$C$1501,$A39,Registro!$B$2:$B$1501,"Escala CBO"))</f>
        <v/>
      </c>
      <c r="P39" s="12">
        <f>IF($A39="","",SUMIFS(Registro!$H$2:$H$1501,Registro!$C$2:$C$1501,$A39,Registro!$B$2:$B$1501,"Escala CBO"))</f>
        <v/>
      </c>
      <c r="Q39" s="10">
        <f>IF(N(P39)&gt;0,O39/P39,"")</f>
        <v/>
      </c>
      <c r="R39" s="11">
        <f>IF(N(O39)&gt;0,SUMIFS(Registro!$I$2:$I$1501,Registro!$C$2:$C$1501,$A39,Registro!$B$2:$B$1501,"Escala CBO")/O39,"")</f>
        <v/>
      </c>
      <c r="S39" s="10">
        <f>IF(N(O39)&gt;0,SUMIFS(Registro!$I$2:$I$1501,Registro!$C$2:$C$1501,$A39,Registro!$B$2:$B$1501,"Escala CBO")*(1-COM-COM_SHOP)-O39*(1+IMP_META),"")</f>
        <v/>
      </c>
      <c r="T39" s="9">
        <f>IF(N(O39)=0,"",IF(P39=0,IF(O39&gt;=K_SIN_VENTA*CPA_BE,"Sin ventas: revisar","Juntando datos"),IF(Q39&lt;=CPA_BE,"Rentable","No rentable")))</f>
        <v/>
      </c>
      <c r="U39" s="10">
        <f>IF($A39="","",N(L39)+N(S39))</f>
        <v/>
      </c>
    </row>
    <row r="40">
      <c r="A40" s="23" t="n"/>
      <c r="B40" s="23" t="n"/>
      <c r="C40" s="23" t="n"/>
      <c r="D40" s="18">
        <f>IF(COUNTIFS(Registro!$C$2:$C$1501,$A40)=0,"",_xlfn.MINIFS(Registro!$A$2:$A$1501,Registro!$C$2:$C$1501,$A40))</f>
        <v/>
      </c>
      <c r="E40" s="12">
        <f>IF($A40="","",COUNTIFS(Registro!$C$2:$C$1501,$A40,Registro!$E$2:$E$1501,"&gt;0"))</f>
        <v/>
      </c>
      <c r="F40" s="10">
        <f>IF($A40="","",SUMIFS(Registro!$E$2:$E$1501,Registro!$C$2:$C$1501,$A40,Registro!$B$2:$B$1501,"Test ABO"))</f>
        <v/>
      </c>
      <c r="G40" s="24">
        <f>IF($A40="","",F40/CPA_BE)</f>
        <v/>
      </c>
      <c r="H40" s="12">
        <f>IF($A40="","",SUMIFS(Registro!$H$2:$H$1501,Registro!$C$2:$C$1501,$A40,Registro!$B$2:$B$1501,"Test ABO"))</f>
        <v/>
      </c>
      <c r="I40" s="10">
        <f>IF(N(H40)&gt;0,F40/H40,"")</f>
        <v/>
      </c>
      <c r="J40" s="25">
        <f>IF(N(H40)&gt;0,I40/CPA_BE-1,"")</f>
        <v/>
      </c>
      <c r="K40" s="11">
        <f>IF(N(F40)&gt;0,SUMIFS(Registro!$I$2:$I$1501,Registro!$C$2:$C$1501,$A40,Registro!$B$2:$B$1501,"Test ABO")/F40,"")</f>
        <v/>
      </c>
      <c r="L40" s="10">
        <f>IF(N(F40)&gt;0,SUMIFS(Registro!$I$2:$I$1501,Registro!$C$2:$C$1501,$A40,Registro!$B$2:$B$1501,"Test ABO")*(1-COM-COM_SHOP)-F40*(1+IMP_META),"")</f>
        <v/>
      </c>
      <c r="M40" s="13">
        <f>IF(SUMIFS(Registro!$F$2:$F$1501,Registro!$C$2:$C$1501,$A40,Registro!$B$2:$B$1501,"Test ABO")&gt;0,SUMIFS(Registro!$G$2:$G$1501,Registro!$C$2:$C$1501,$A40,Registro!$B$2:$B$1501,"Test ABO")/SUMIFS(Registro!$F$2:$F$1501,Registro!$C$2:$C$1501,$A40,Registro!$B$2:$B$1501,"Test ABO"),"")</f>
        <v/>
      </c>
      <c r="N40" s="9">
        <f>IF($A40="","",IF(N(F40)=0,"Sin datos",IF(AND(H40&gt;=MIN_VENTAS,N(I40)&lt;=CPA_BE),"GANADOR → pasar a CBO",IF(AND(H40=0,F40&gt;=K_SIN_VENTA*CPA_BE),"APAGAR (sin ventas)",IF(AND(H40&gt;0,F40&gt;=K_CARO*CPA_BE,N(I40)&gt;CPA_BE*(1+TOL)),"APAGAR (CPA alto)",IF(AND(H40&gt;0,N(I40)&lt;=CPA_BE*(1+TOL)),"Prometedor / cerca del BE","Juntando datos"))))))</f>
        <v/>
      </c>
      <c r="O40" s="10">
        <f>IF($A40="","",SUMIFS(Registro!$E$2:$E$1501,Registro!$C$2:$C$1501,$A40,Registro!$B$2:$B$1501,"Escala CBO"))</f>
        <v/>
      </c>
      <c r="P40" s="12">
        <f>IF($A40="","",SUMIFS(Registro!$H$2:$H$1501,Registro!$C$2:$C$1501,$A40,Registro!$B$2:$B$1501,"Escala CBO"))</f>
        <v/>
      </c>
      <c r="Q40" s="10">
        <f>IF(N(P40)&gt;0,O40/P40,"")</f>
        <v/>
      </c>
      <c r="R40" s="11">
        <f>IF(N(O40)&gt;0,SUMIFS(Registro!$I$2:$I$1501,Registro!$C$2:$C$1501,$A40,Registro!$B$2:$B$1501,"Escala CBO")/O40,"")</f>
        <v/>
      </c>
      <c r="S40" s="10">
        <f>IF(N(O40)&gt;0,SUMIFS(Registro!$I$2:$I$1501,Registro!$C$2:$C$1501,$A40,Registro!$B$2:$B$1501,"Escala CBO")*(1-COM-COM_SHOP)-O40*(1+IMP_META),"")</f>
        <v/>
      </c>
      <c r="T40" s="9">
        <f>IF(N(O40)=0,"",IF(P40=0,IF(O40&gt;=K_SIN_VENTA*CPA_BE,"Sin ventas: revisar","Juntando datos"),IF(Q40&lt;=CPA_BE,"Rentable","No rentable")))</f>
        <v/>
      </c>
      <c r="U40" s="10">
        <f>IF($A40="","",N(L40)+N(S40))</f>
        <v/>
      </c>
    </row>
    <row r="41">
      <c r="A41" s="23" t="n"/>
      <c r="B41" s="23" t="n"/>
      <c r="C41" s="23" t="n"/>
      <c r="D41" s="18">
        <f>IF(COUNTIFS(Registro!$C$2:$C$1501,$A41)=0,"",_xlfn.MINIFS(Registro!$A$2:$A$1501,Registro!$C$2:$C$1501,$A41))</f>
        <v/>
      </c>
      <c r="E41" s="12">
        <f>IF($A41="","",COUNTIFS(Registro!$C$2:$C$1501,$A41,Registro!$E$2:$E$1501,"&gt;0"))</f>
        <v/>
      </c>
      <c r="F41" s="10">
        <f>IF($A41="","",SUMIFS(Registro!$E$2:$E$1501,Registro!$C$2:$C$1501,$A41,Registro!$B$2:$B$1501,"Test ABO"))</f>
        <v/>
      </c>
      <c r="G41" s="24">
        <f>IF($A41="","",F41/CPA_BE)</f>
        <v/>
      </c>
      <c r="H41" s="12">
        <f>IF($A41="","",SUMIFS(Registro!$H$2:$H$1501,Registro!$C$2:$C$1501,$A41,Registro!$B$2:$B$1501,"Test ABO"))</f>
        <v/>
      </c>
      <c r="I41" s="10">
        <f>IF(N(H41)&gt;0,F41/H41,"")</f>
        <v/>
      </c>
      <c r="J41" s="25">
        <f>IF(N(H41)&gt;0,I41/CPA_BE-1,"")</f>
        <v/>
      </c>
      <c r="K41" s="11">
        <f>IF(N(F41)&gt;0,SUMIFS(Registro!$I$2:$I$1501,Registro!$C$2:$C$1501,$A41,Registro!$B$2:$B$1501,"Test ABO")/F41,"")</f>
        <v/>
      </c>
      <c r="L41" s="10">
        <f>IF(N(F41)&gt;0,SUMIFS(Registro!$I$2:$I$1501,Registro!$C$2:$C$1501,$A41,Registro!$B$2:$B$1501,"Test ABO")*(1-COM-COM_SHOP)-F41*(1+IMP_META),"")</f>
        <v/>
      </c>
      <c r="M41" s="13">
        <f>IF(SUMIFS(Registro!$F$2:$F$1501,Registro!$C$2:$C$1501,$A41,Registro!$B$2:$B$1501,"Test ABO")&gt;0,SUMIFS(Registro!$G$2:$G$1501,Registro!$C$2:$C$1501,$A41,Registro!$B$2:$B$1501,"Test ABO")/SUMIFS(Registro!$F$2:$F$1501,Registro!$C$2:$C$1501,$A41,Registro!$B$2:$B$1501,"Test ABO"),"")</f>
        <v/>
      </c>
      <c r="N41" s="9">
        <f>IF($A41="","",IF(N(F41)=0,"Sin datos",IF(AND(H41&gt;=MIN_VENTAS,N(I41)&lt;=CPA_BE),"GANADOR → pasar a CBO",IF(AND(H41=0,F41&gt;=K_SIN_VENTA*CPA_BE),"APAGAR (sin ventas)",IF(AND(H41&gt;0,F41&gt;=K_CARO*CPA_BE,N(I41)&gt;CPA_BE*(1+TOL)),"APAGAR (CPA alto)",IF(AND(H41&gt;0,N(I41)&lt;=CPA_BE*(1+TOL)),"Prometedor / cerca del BE","Juntando datos"))))))</f>
        <v/>
      </c>
      <c r="O41" s="10">
        <f>IF($A41="","",SUMIFS(Registro!$E$2:$E$1501,Registro!$C$2:$C$1501,$A41,Registro!$B$2:$B$1501,"Escala CBO"))</f>
        <v/>
      </c>
      <c r="P41" s="12">
        <f>IF($A41="","",SUMIFS(Registro!$H$2:$H$1501,Registro!$C$2:$C$1501,$A41,Registro!$B$2:$B$1501,"Escala CBO"))</f>
        <v/>
      </c>
      <c r="Q41" s="10">
        <f>IF(N(P41)&gt;0,O41/P41,"")</f>
        <v/>
      </c>
      <c r="R41" s="11">
        <f>IF(N(O41)&gt;0,SUMIFS(Registro!$I$2:$I$1501,Registro!$C$2:$C$1501,$A41,Registro!$B$2:$B$1501,"Escala CBO")/O41,"")</f>
        <v/>
      </c>
      <c r="S41" s="10">
        <f>IF(N(O41)&gt;0,SUMIFS(Registro!$I$2:$I$1501,Registro!$C$2:$C$1501,$A41,Registro!$B$2:$B$1501,"Escala CBO")*(1-COM-COM_SHOP)-O41*(1+IMP_META),"")</f>
        <v/>
      </c>
      <c r="T41" s="9">
        <f>IF(N(O41)=0,"",IF(P41=0,IF(O41&gt;=K_SIN_VENTA*CPA_BE,"Sin ventas: revisar","Juntando datos"),IF(Q41&lt;=CPA_BE,"Rentable","No rentable")))</f>
        <v/>
      </c>
      <c r="U41" s="10">
        <f>IF($A41="","",N(L41)+N(S41))</f>
        <v/>
      </c>
    </row>
    <row r="42">
      <c r="A42" s="23" t="n"/>
      <c r="B42" s="23" t="n"/>
      <c r="C42" s="23" t="n"/>
      <c r="D42" s="18">
        <f>IF(COUNTIFS(Registro!$C$2:$C$1501,$A42)=0,"",_xlfn.MINIFS(Registro!$A$2:$A$1501,Registro!$C$2:$C$1501,$A42))</f>
        <v/>
      </c>
      <c r="E42" s="12">
        <f>IF($A42="","",COUNTIFS(Registro!$C$2:$C$1501,$A42,Registro!$E$2:$E$1501,"&gt;0"))</f>
        <v/>
      </c>
      <c r="F42" s="10">
        <f>IF($A42="","",SUMIFS(Registro!$E$2:$E$1501,Registro!$C$2:$C$1501,$A42,Registro!$B$2:$B$1501,"Test ABO"))</f>
        <v/>
      </c>
      <c r="G42" s="24">
        <f>IF($A42="","",F42/CPA_BE)</f>
        <v/>
      </c>
      <c r="H42" s="12">
        <f>IF($A42="","",SUMIFS(Registro!$H$2:$H$1501,Registro!$C$2:$C$1501,$A42,Registro!$B$2:$B$1501,"Test ABO"))</f>
        <v/>
      </c>
      <c r="I42" s="10">
        <f>IF(N(H42)&gt;0,F42/H42,"")</f>
        <v/>
      </c>
      <c r="J42" s="25">
        <f>IF(N(H42)&gt;0,I42/CPA_BE-1,"")</f>
        <v/>
      </c>
      <c r="K42" s="11">
        <f>IF(N(F42)&gt;0,SUMIFS(Registro!$I$2:$I$1501,Registro!$C$2:$C$1501,$A42,Registro!$B$2:$B$1501,"Test ABO")/F42,"")</f>
        <v/>
      </c>
      <c r="L42" s="10">
        <f>IF(N(F42)&gt;0,SUMIFS(Registro!$I$2:$I$1501,Registro!$C$2:$C$1501,$A42,Registro!$B$2:$B$1501,"Test ABO")*(1-COM-COM_SHOP)-F42*(1+IMP_META),"")</f>
        <v/>
      </c>
      <c r="M42" s="13">
        <f>IF(SUMIFS(Registro!$F$2:$F$1501,Registro!$C$2:$C$1501,$A42,Registro!$B$2:$B$1501,"Test ABO")&gt;0,SUMIFS(Registro!$G$2:$G$1501,Registro!$C$2:$C$1501,$A42,Registro!$B$2:$B$1501,"Test ABO")/SUMIFS(Registro!$F$2:$F$1501,Registro!$C$2:$C$1501,$A42,Registro!$B$2:$B$1501,"Test ABO"),"")</f>
        <v/>
      </c>
      <c r="N42" s="9">
        <f>IF($A42="","",IF(N(F42)=0,"Sin datos",IF(AND(H42&gt;=MIN_VENTAS,N(I42)&lt;=CPA_BE),"GANADOR → pasar a CBO",IF(AND(H42=0,F42&gt;=K_SIN_VENTA*CPA_BE),"APAGAR (sin ventas)",IF(AND(H42&gt;0,F42&gt;=K_CARO*CPA_BE,N(I42)&gt;CPA_BE*(1+TOL)),"APAGAR (CPA alto)",IF(AND(H42&gt;0,N(I42)&lt;=CPA_BE*(1+TOL)),"Prometedor / cerca del BE","Juntando datos"))))))</f>
        <v/>
      </c>
      <c r="O42" s="10">
        <f>IF($A42="","",SUMIFS(Registro!$E$2:$E$1501,Registro!$C$2:$C$1501,$A42,Registro!$B$2:$B$1501,"Escala CBO"))</f>
        <v/>
      </c>
      <c r="P42" s="12">
        <f>IF($A42="","",SUMIFS(Registro!$H$2:$H$1501,Registro!$C$2:$C$1501,$A42,Registro!$B$2:$B$1501,"Escala CBO"))</f>
        <v/>
      </c>
      <c r="Q42" s="10">
        <f>IF(N(P42)&gt;0,O42/P42,"")</f>
        <v/>
      </c>
      <c r="R42" s="11">
        <f>IF(N(O42)&gt;0,SUMIFS(Registro!$I$2:$I$1501,Registro!$C$2:$C$1501,$A42,Registro!$B$2:$B$1501,"Escala CBO")/O42,"")</f>
        <v/>
      </c>
      <c r="S42" s="10">
        <f>IF(N(O42)&gt;0,SUMIFS(Registro!$I$2:$I$1501,Registro!$C$2:$C$1501,$A42,Registro!$B$2:$B$1501,"Escala CBO")*(1-COM-COM_SHOP)-O42*(1+IMP_META),"")</f>
        <v/>
      </c>
      <c r="T42" s="9">
        <f>IF(N(O42)=0,"",IF(P42=0,IF(O42&gt;=K_SIN_VENTA*CPA_BE,"Sin ventas: revisar","Juntando datos"),IF(Q42&lt;=CPA_BE,"Rentable","No rentable")))</f>
        <v/>
      </c>
      <c r="U42" s="10">
        <f>IF($A42="","",N(L42)+N(S42))</f>
        <v/>
      </c>
    </row>
    <row r="43">
      <c r="A43" s="23" t="n"/>
      <c r="B43" s="23" t="n"/>
      <c r="C43" s="23" t="n"/>
      <c r="D43" s="18">
        <f>IF(COUNTIFS(Registro!$C$2:$C$1501,$A43)=0,"",_xlfn.MINIFS(Registro!$A$2:$A$1501,Registro!$C$2:$C$1501,$A43))</f>
        <v/>
      </c>
      <c r="E43" s="12">
        <f>IF($A43="","",COUNTIFS(Registro!$C$2:$C$1501,$A43,Registro!$E$2:$E$1501,"&gt;0"))</f>
        <v/>
      </c>
      <c r="F43" s="10">
        <f>IF($A43="","",SUMIFS(Registro!$E$2:$E$1501,Registro!$C$2:$C$1501,$A43,Registro!$B$2:$B$1501,"Test ABO"))</f>
        <v/>
      </c>
      <c r="G43" s="24">
        <f>IF($A43="","",F43/CPA_BE)</f>
        <v/>
      </c>
      <c r="H43" s="12">
        <f>IF($A43="","",SUMIFS(Registro!$H$2:$H$1501,Registro!$C$2:$C$1501,$A43,Registro!$B$2:$B$1501,"Test ABO"))</f>
        <v/>
      </c>
      <c r="I43" s="10">
        <f>IF(N(H43)&gt;0,F43/H43,"")</f>
        <v/>
      </c>
      <c r="J43" s="25">
        <f>IF(N(H43)&gt;0,I43/CPA_BE-1,"")</f>
        <v/>
      </c>
      <c r="K43" s="11">
        <f>IF(N(F43)&gt;0,SUMIFS(Registro!$I$2:$I$1501,Registro!$C$2:$C$1501,$A43,Registro!$B$2:$B$1501,"Test ABO")/F43,"")</f>
        <v/>
      </c>
      <c r="L43" s="10">
        <f>IF(N(F43)&gt;0,SUMIFS(Registro!$I$2:$I$1501,Registro!$C$2:$C$1501,$A43,Registro!$B$2:$B$1501,"Test ABO")*(1-COM-COM_SHOP)-F43*(1+IMP_META),"")</f>
        <v/>
      </c>
      <c r="M43" s="13">
        <f>IF(SUMIFS(Registro!$F$2:$F$1501,Registro!$C$2:$C$1501,$A43,Registro!$B$2:$B$1501,"Test ABO")&gt;0,SUMIFS(Registro!$G$2:$G$1501,Registro!$C$2:$C$1501,$A43,Registro!$B$2:$B$1501,"Test ABO")/SUMIFS(Registro!$F$2:$F$1501,Registro!$C$2:$C$1501,$A43,Registro!$B$2:$B$1501,"Test ABO"),"")</f>
        <v/>
      </c>
      <c r="N43" s="9">
        <f>IF($A43="","",IF(N(F43)=0,"Sin datos",IF(AND(H43&gt;=MIN_VENTAS,N(I43)&lt;=CPA_BE),"GANADOR → pasar a CBO",IF(AND(H43=0,F43&gt;=K_SIN_VENTA*CPA_BE),"APAGAR (sin ventas)",IF(AND(H43&gt;0,F43&gt;=K_CARO*CPA_BE,N(I43)&gt;CPA_BE*(1+TOL)),"APAGAR (CPA alto)",IF(AND(H43&gt;0,N(I43)&lt;=CPA_BE*(1+TOL)),"Prometedor / cerca del BE","Juntando datos"))))))</f>
        <v/>
      </c>
      <c r="O43" s="10">
        <f>IF($A43="","",SUMIFS(Registro!$E$2:$E$1501,Registro!$C$2:$C$1501,$A43,Registro!$B$2:$B$1501,"Escala CBO"))</f>
        <v/>
      </c>
      <c r="P43" s="12">
        <f>IF($A43="","",SUMIFS(Registro!$H$2:$H$1501,Registro!$C$2:$C$1501,$A43,Registro!$B$2:$B$1501,"Escala CBO"))</f>
        <v/>
      </c>
      <c r="Q43" s="10">
        <f>IF(N(P43)&gt;0,O43/P43,"")</f>
        <v/>
      </c>
      <c r="R43" s="11">
        <f>IF(N(O43)&gt;0,SUMIFS(Registro!$I$2:$I$1501,Registro!$C$2:$C$1501,$A43,Registro!$B$2:$B$1501,"Escala CBO")/O43,"")</f>
        <v/>
      </c>
      <c r="S43" s="10">
        <f>IF(N(O43)&gt;0,SUMIFS(Registro!$I$2:$I$1501,Registro!$C$2:$C$1501,$A43,Registro!$B$2:$B$1501,"Escala CBO")*(1-COM-COM_SHOP)-O43*(1+IMP_META),"")</f>
        <v/>
      </c>
      <c r="T43" s="9">
        <f>IF(N(O43)=0,"",IF(P43=0,IF(O43&gt;=K_SIN_VENTA*CPA_BE,"Sin ventas: revisar","Juntando datos"),IF(Q43&lt;=CPA_BE,"Rentable","No rentable")))</f>
        <v/>
      </c>
      <c r="U43" s="10">
        <f>IF($A43="","",N(L43)+N(S43))</f>
        <v/>
      </c>
    </row>
    <row r="44">
      <c r="A44" s="23" t="n"/>
      <c r="B44" s="23" t="n"/>
      <c r="C44" s="23" t="n"/>
      <c r="D44" s="18">
        <f>IF(COUNTIFS(Registro!$C$2:$C$1501,$A44)=0,"",_xlfn.MINIFS(Registro!$A$2:$A$1501,Registro!$C$2:$C$1501,$A44))</f>
        <v/>
      </c>
      <c r="E44" s="12">
        <f>IF($A44="","",COUNTIFS(Registro!$C$2:$C$1501,$A44,Registro!$E$2:$E$1501,"&gt;0"))</f>
        <v/>
      </c>
      <c r="F44" s="10">
        <f>IF($A44="","",SUMIFS(Registro!$E$2:$E$1501,Registro!$C$2:$C$1501,$A44,Registro!$B$2:$B$1501,"Test ABO"))</f>
        <v/>
      </c>
      <c r="G44" s="24">
        <f>IF($A44="","",F44/CPA_BE)</f>
        <v/>
      </c>
      <c r="H44" s="12">
        <f>IF($A44="","",SUMIFS(Registro!$H$2:$H$1501,Registro!$C$2:$C$1501,$A44,Registro!$B$2:$B$1501,"Test ABO"))</f>
        <v/>
      </c>
      <c r="I44" s="10">
        <f>IF(N(H44)&gt;0,F44/H44,"")</f>
        <v/>
      </c>
      <c r="J44" s="25">
        <f>IF(N(H44)&gt;0,I44/CPA_BE-1,"")</f>
        <v/>
      </c>
      <c r="K44" s="11">
        <f>IF(N(F44)&gt;0,SUMIFS(Registro!$I$2:$I$1501,Registro!$C$2:$C$1501,$A44,Registro!$B$2:$B$1501,"Test ABO")/F44,"")</f>
        <v/>
      </c>
      <c r="L44" s="10">
        <f>IF(N(F44)&gt;0,SUMIFS(Registro!$I$2:$I$1501,Registro!$C$2:$C$1501,$A44,Registro!$B$2:$B$1501,"Test ABO")*(1-COM-COM_SHOP)-F44*(1+IMP_META),"")</f>
        <v/>
      </c>
      <c r="M44" s="13">
        <f>IF(SUMIFS(Registro!$F$2:$F$1501,Registro!$C$2:$C$1501,$A44,Registro!$B$2:$B$1501,"Test ABO")&gt;0,SUMIFS(Registro!$G$2:$G$1501,Registro!$C$2:$C$1501,$A44,Registro!$B$2:$B$1501,"Test ABO")/SUMIFS(Registro!$F$2:$F$1501,Registro!$C$2:$C$1501,$A44,Registro!$B$2:$B$1501,"Test ABO"),"")</f>
        <v/>
      </c>
      <c r="N44" s="9">
        <f>IF($A44="","",IF(N(F44)=0,"Sin datos",IF(AND(H44&gt;=MIN_VENTAS,N(I44)&lt;=CPA_BE),"GANADOR → pasar a CBO",IF(AND(H44=0,F44&gt;=K_SIN_VENTA*CPA_BE),"APAGAR (sin ventas)",IF(AND(H44&gt;0,F44&gt;=K_CARO*CPA_BE,N(I44)&gt;CPA_BE*(1+TOL)),"APAGAR (CPA alto)",IF(AND(H44&gt;0,N(I44)&lt;=CPA_BE*(1+TOL)),"Prometedor / cerca del BE","Juntando datos"))))))</f>
        <v/>
      </c>
      <c r="O44" s="10">
        <f>IF($A44="","",SUMIFS(Registro!$E$2:$E$1501,Registro!$C$2:$C$1501,$A44,Registro!$B$2:$B$1501,"Escala CBO"))</f>
        <v/>
      </c>
      <c r="P44" s="12">
        <f>IF($A44="","",SUMIFS(Registro!$H$2:$H$1501,Registro!$C$2:$C$1501,$A44,Registro!$B$2:$B$1501,"Escala CBO"))</f>
        <v/>
      </c>
      <c r="Q44" s="10">
        <f>IF(N(P44)&gt;0,O44/P44,"")</f>
        <v/>
      </c>
      <c r="R44" s="11">
        <f>IF(N(O44)&gt;0,SUMIFS(Registro!$I$2:$I$1501,Registro!$C$2:$C$1501,$A44,Registro!$B$2:$B$1501,"Escala CBO")/O44,"")</f>
        <v/>
      </c>
      <c r="S44" s="10">
        <f>IF(N(O44)&gt;0,SUMIFS(Registro!$I$2:$I$1501,Registro!$C$2:$C$1501,$A44,Registro!$B$2:$B$1501,"Escala CBO")*(1-COM-COM_SHOP)-O44*(1+IMP_META),"")</f>
        <v/>
      </c>
      <c r="T44" s="9">
        <f>IF(N(O44)=0,"",IF(P44=0,IF(O44&gt;=K_SIN_VENTA*CPA_BE,"Sin ventas: revisar","Juntando datos"),IF(Q44&lt;=CPA_BE,"Rentable","No rentable")))</f>
        <v/>
      </c>
      <c r="U44" s="10">
        <f>IF($A44="","",N(L44)+N(S44))</f>
        <v/>
      </c>
    </row>
    <row r="45">
      <c r="A45" s="23" t="n"/>
      <c r="B45" s="23" t="n"/>
      <c r="C45" s="23" t="n"/>
      <c r="D45" s="18">
        <f>IF(COUNTIFS(Registro!$C$2:$C$1501,$A45)=0,"",_xlfn.MINIFS(Registro!$A$2:$A$1501,Registro!$C$2:$C$1501,$A45))</f>
        <v/>
      </c>
      <c r="E45" s="12">
        <f>IF($A45="","",COUNTIFS(Registro!$C$2:$C$1501,$A45,Registro!$E$2:$E$1501,"&gt;0"))</f>
        <v/>
      </c>
      <c r="F45" s="10">
        <f>IF($A45="","",SUMIFS(Registro!$E$2:$E$1501,Registro!$C$2:$C$1501,$A45,Registro!$B$2:$B$1501,"Test ABO"))</f>
        <v/>
      </c>
      <c r="G45" s="24">
        <f>IF($A45="","",F45/CPA_BE)</f>
        <v/>
      </c>
      <c r="H45" s="12">
        <f>IF($A45="","",SUMIFS(Registro!$H$2:$H$1501,Registro!$C$2:$C$1501,$A45,Registro!$B$2:$B$1501,"Test ABO"))</f>
        <v/>
      </c>
      <c r="I45" s="10">
        <f>IF(N(H45)&gt;0,F45/H45,"")</f>
        <v/>
      </c>
      <c r="J45" s="25">
        <f>IF(N(H45)&gt;0,I45/CPA_BE-1,"")</f>
        <v/>
      </c>
      <c r="K45" s="11">
        <f>IF(N(F45)&gt;0,SUMIFS(Registro!$I$2:$I$1501,Registro!$C$2:$C$1501,$A45,Registro!$B$2:$B$1501,"Test ABO")/F45,"")</f>
        <v/>
      </c>
      <c r="L45" s="10">
        <f>IF(N(F45)&gt;0,SUMIFS(Registro!$I$2:$I$1501,Registro!$C$2:$C$1501,$A45,Registro!$B$2:$B$1501,"Test ABO")*(1-COM-COM_SHOP)-F45*(1+IMP_META),"")</f>
        <v/>
      </c>
      <c r="M45" s="13">
        <f>IF(SUMIFS(Registro!$F$2:$F$1501,Registro!$C$2:$C$1501,$A45,Registro!$B$2:$B$1501,"Test ABO")&gt;0,SUMIFS(Registro!$G$2:$G$1501,Registro!$C$2:$C$1501,$A45,Registro!$B$2:$B$1501,"Test ABO")/SUMIFS(Registro!$F$2:$F$1501,Registro!$C$2:$C$1501,$A45,Registro!$B$2:$B$1501,"Test ABO"),"")</f>
        <v/>
      </c>
      <c r="N45" s="9">
        <f>IF($A45="","",IF(N(F45)=0,"Sin datos",IF(AND(H45&gt;=MIN_VENTAS,N(I45)&lt;=CPA_BE),"GANADOR → pasar a CBO",IF(AND(H45=0,F45&gt;=K_SIN_VENTA*CPA_BE),"APAGAR (sin ventas)",IF(AND(H45&gt;0,F45&gt;=K_CARO*CPA_BE,N(I45)&gt;CPA_BE*(1+TOL)),"APAGAR (CPA alto)",IF(AND(H45&gt;0,N(I45)&lt;=CPA_BE*(1+TOL)),"Prometedor / cerca del BE","Juntando datos"))))))</f>
        <v/>
      </c>
      <c r="O45" s="10">
        <f>IF($A45="","",SUMIFS(Registro!$E$2:$E$1501,Registro!$C$2:$C$1501,$A45,Registro!$B$2:$B$1501,"Escala CBO"))</f>
        <v/>
      </c>
      <c r="P45" s="12">
        <f>IF($A45="","",SUMIFS(Registro!$H$2:$H$1501,Registro!$C$2:$C$1501,$A45,Registro!$B$2:$B$1501,"Escala CBO"))</f>
        <v/>
      </c>
      <c r="Q45" s="10">
        <f>IF(N(P45)&gt;0,O45/P45,"")</f>
        <v/>
      </c>
      <c r="R45" s="11">
        <f>IF(N(O45)&gt;0,SUMIFS(Registro!$I$2:$I$1501,Registro!$C$2:$C$1501,$A45,Registro!$B$2:$B$1501,"Escala CBO")/O45,"")</f>
        <v/>
      </c>
      <c r="S45" s="10">
        <f>IF(N(O45)&gt;0,SUMIFS(Registro!$I$2:$I$1501,Registro!$C$2:$C$1501,$A45,Registro!$B$2:$B$1501,"Escala CBO")*(1-COM-COM_SHOP)-O45*(1+IMP_META),"")</f>
        <v/>
      </c>
      <c r="T45" s="9">
        <f>IF(N(O45)=0,"",IF(P45=0,IF(O45&gt;=K_SIN_VENTA*CPA_BE,"Sin ventas: revisar","Juntando datos"),IF(Q45&lt;=CPA_BE,"Rentable","No rentable")))</f>
        <v/>
      </c>
      <c r="U45" s="10">
        <f>IF($A45="","",N(L45)+N(S45))</f>
        <v/>
      </c>
    </row>
    <row r="46">
      <c r="A46" s="23" t="n"/>
      <c r="B46" s="23" t="n"/>
      <c r="C46" s="23" t="n"/>
      <c r="D46" s="18">
        <f>IF(COUNTIFS(Registro!$C$2:$C$1501,$A46)=0,"",_xlfn.MINIFS(Registro!$A$2:$A$1501,Registro!$C$2:$C$1501,$A46))</f>
        <v/>
      </c>
      <c r="E46" s="12">
        <f>IF($A46="","",COUNTIFS(Registro!$C$2:$C$1501,$A46,Registro!$E$2:$E$1501,"&gt;0"))</f>
        <v/>
      </c>
      <c r="F46" s="10">
        <f>IF($A46="","",SUMIFS(Registro!$E$2:$E$1501,Registro!$C$2:$C$1501,$A46,Registro!$B$2:$B$1501,"Test ABO"))</f>
        <v/>
      </c>
      <c r="G46" s="24">
        <f>IF($A46="","",F46/CPA_BE)</f>
        <v/>
      </c>
      <c r="H46" s="12">
        <f>IF($A46="","",SUMIFS(Registro!$H$2:$H$1501,Registro!$C$2:$C$1501,$A46,Registro!$B$2:$B$1501,"Test ABO"))</f>
        <v/>
      </c>
      <c r="I46" s="10">
        <f>IF(N(H46)&gt;0,F46/H46,"")</f>
        <v/>
      </c>
      <c r="J46" s="25">
        <f>IF(N(H46)&gt;0,I46/CPA_BE-1,"")</f>
        <v/>
      </c>
      <c r="K46" s="11">
        <f>IF(N(F46)&gt;0,SUMIFS(Registro!$I$2:$I$1501,Registro!$C$2:$C$1501,$A46,Registro!$B$2:$B$1501,"Test ABO")/F46,"")</f>
        <v/>
      </c>
      <c r="L46" s="10">
        <f>IF(N(F46)&gt;0,SUMIFS(Registro!$I$2:$I$1501,Registro!$C$2:$C$1501,$A46,Registro!$B$2:$B$1501,"Test ABO")*(1-COM-COM_SHOP)-F46*(1+IMP_META),"")</f>
        <v/>
      </c>
      <c r="M46" s="13">
        <f>IF(SUMIFS(Registro!$F$2:$F$1501,Registro!$C$2:$C$1501,$A46,Registro!$B$2:$B$1501,"Test ABO")&gt;0,SUMIFS(Registro!$G$2:$G$1501,Registro!$C$2:$C$1501,$A46,Registro!$B$2:$B$1501,"Test ABO")/SUMIFS(Registro!$F$2:$F$1501,Registro!$C$2:$C$1501,$A46,Registro!$B$2:$B$1501,"Test ABO"),"")</f>
        <v/>
      </c>
      <c r="N46" s="9">
        <f>IF($A46="","",IF(N(F46)=0,"Sin datos",IF(AND(H46&gt;=MIN_VENTAS,N(I46)&lt;=CPA_BE),"GANADOR → pasar a CBO",IF(AND(H46=0,F46&gt;=K_SIN_VENTA*CPA_BE),"APAGAR (sin ventas)",IF(AND(H46&gt;0,F46&gt;=K_CARO*CPA_BE,N(I46)&gt;CPA_BE*(1+TOL)),"APAGAR (CPA alto)",IF(AND(H46&gt;0,N(I46)&lt;=CPA_BE*(1+TOL)),"Prometedor / cerca del BE","Juntando datos"))))))</f>
        <v/>
      </c>
      <c r="O46" s="10">
        <f>IF($A46="","",SUMIFS(Registro!$E$2:$E$1501,Registro!$C$2:$C$1501,$A46,Registro!$B$2:$B$1501,"Escala CBO"))</f>
        <v/>
      </c>
      <c r="P46" s="12">
        <f>IF($A46="","",SUMIFS(Registro!$H$2:$H$1501,Registro!$C$2:$C$1501,$A46,Registro!$B$2:$B$1501,"Escala CBO"))</f>
        <v/>
      </c>
      <c r="Q46" s="10">
        <f>IF(N(P46)&gt;0,O46/P46,"")</f>
        <v/>
      </c>
      <c r="R46" s="11">
        <f>IF(N(O46)&gt;0,SUMIFS(Registro!$I$2:$I$1501,Registro!$C$2:$C$1501,$A46,Registro!$B$2:$B$1501,"Escala CBO")/O46,"")</f>
        <v/>
      </c>
      <c r="S46" s="10">
        <f>IF(N(O46)&gt;0,SUMIFS(Registro!$I$2:$I$1501,Registro!$C$2:$C$1501,$A46,Registro!$B$2:$B$1501,"Escala CBO")*(1-COM-COM_SHOP)-O46*(1+IMP_META),"")</f>
        <v/>
      </c>
      <c r="T46" s="9">
        <f>IF(N(O46)=0,"",IF(P46=0,IF(O46&gt;=K_SIN_VENTA*CPA_BE,"Sin ventas: revisar","Juntando datos"),IF(Q46&lt;=CPA_BE,"Rentable","No rentable")))</f>
        <v/>
      </c>
      <c r="U46" s="10">
        <f>IF($A46="","",N(L46)+N(S46))</f>
        <v/>
      </c>
    </row>
    <row r="47">
      <c r="A47" s="23" t="n"/>
      <c r="B47" s="23" t="n"/>
      <c r="C47" s="23" t="n"/>
      <c r="D47" s="18">
        <f>IF(COUNTIFS(Registro!$C$2:$C$1501,$A47)=0,"",_xlfn.MINIFS(Registro!$A$2:$A$1501,Registro!$C$2:$C$1501,$A47))</f>
        <v/>
      </c>
      <c r="E47" s="12">
        <f>IF($A47="","",COUNTIFS(Registro!$C$2:$C$1501,$A47,Registro!$E$2:$E$1501,"&gt;0"))</f>
        <v/>
      </c>
      <c r="F47" s="10">
        <f>IF($A47="","",SUMIFS(Registro!$E$2:$E$1501,Registro!$C$2:$C$1501,$A47,Registro!$B$2:$B$1501,"Test ABO"))</f>
        <v/>
      </c>
      <c r="G47" s="24">
        <f>IF($A47="","",F47/CPA_BE)</f>
        <v/>
      </c>
      <c r="H47" s="12">
        <f>IF($A47="","",SUMIFS(Registro!$H$2:$H$1501,Registro!$C$2:$C$1501,$A47,Registro!$B$2:$B$1501,"Test ABO"))</f>
        <v/>
      </c>
      <c r="I47" s="10">
        <f>IF(N(H47)&gt;0,F47/H47,"")</f>
        <v/>
      </c>
      <c r="J47" s="25">
        <f>IF(N(H47)&gt;0,I47/CPA_BE-1,"")</f>
        <v/>
      </c>
      <c r="K47" s="11">
        <f>IF(N(F47)&gt;0,SUMIFS(Registro!$I$2:$I$1501,Registro!$C$2:$C$1501,$A47,Registro!$B$2:$B$1501,"Test ABO")/F47,"")</f>
        <v/>
      </c>
      <c r="L47" s="10">
        <f>IF(N(F47)&gt;0,SUMIFS(Registro!$I$2:$I$1501,Registro!$C$2:$C$1501,$A47,Registro!$B$2:$B$1501,"Test ABO")*(1-COM-COM_SHOP)-F47*(1+IMP_META),"")</f>
        <v/>
      </c>
      <c r="M47" s="13">
        <f>IF(SUMIFS(Registro!$F$2:$F$1501,Registro!$C$2:$C$1501,$A47,Registro!$B$2:$B$1501,"Test ABO")&gt;0,SUMIFS(Registro!$G$2:$G$1501,Registro!$C$2:$C$1501,$A47,Registro!$B$2:$B$1501,"Test ABO")/SUMIFS(Registro!$F$2:$F$1501,Registro!$C$2:$C$1501,$A47,Registro!$B$2:$B$1501,"Test ABO"),"")</f>
        <v/>
      </c>
      <c r="N47" s="9">
        <f>IF($A47="","",IF(N(F47)=0,"Sin datos",IF(AND(H47&gt;=MIN_VENTAS,N(I47)&lt;=CPA_BE),"GANADOR → pasar a CBO",IF(AND(H47=0,F47&gt;=K_SIN_VENTA*CPA_BE),"APAGAR (sin ventas)",IF(AND(H47&gt;0,F47&gt;=K_CARO*CPA_BE,N(I47)&gt;CPA_BE*(1+TOL)),"APAGAR (CPA alto)",IF(AND(H47&gt;0,N(I47)&lt;=CPA_BE*(1+TOL)),"Prometedor / cerca del BE","Juntando datos"))))))</f>
        <v/>
      </c>
      <c r="O47" s="10">
        <f>IF($A47="","",SUMIFS(Registro!$E$2:$E$1501,Registro!$C$2:$C$1501,$A47,Registro!$B$2:$B$1501,"Escala CBO"))</f>
        <v/>
      </c>
      <c r="P47" s="12">
        <f>IF($A47="","",SUMIFS(Registro!$H$2:$H$1501,Registro!$C$2:$C$1501,$A47,Registro!$B$2:$B$1501,"Escala CBO"))</f>
        <v/>
      </c>
      <c r="Q47" s="10">
        <f>IF(N(P47)&gt;0,O47/P47,"")</f>
        <v/>
      </c>
      <c r="R47" s="11">
        <f>IF(N(O47)&gt;0,SUMIFS(Registro!$I$2:$I$1501,Registro!$C$2:$C$1501,$A47,Registro!$B$2:$B$1501,"Escala CBO")/O47,"")</f>
        <v/>
      </c>
      <c r="S47" s="10">
        <f>IF(N(O47)&gt;0,SUMIFS(Registro!$I$2:$I$1501,Registro!$C$2:$C$1501,$A47,Registro!$B$2:$B$1501,"Escala CBO")*(1-COM-COM_SHOP)-O47*(1+IMP_META),"")</f>
        <v/>
      </c>
      <c r="T47" s="9">
        <f>IF(N(O47)=0,"",IF(P47=0,IF(O47&gt;=K_SIN_VENTA*CPA_BE,"Sin ventas: revisar","Juntando datos"),IF(Q47&lt;=CPA_BE,"Rentable","No rentable")))</f>
        <v/>
      </c>
      <c r="U47" s="10">
        <f>IF($A47="","",N(L47)+N(S47))</f>
        <v/>
      </c>
    </row>
    <row r="48">
      <c r="A48" s="23" t="n"/>
      <c r="B48" s="23" t="n"/>
      <c r="C48" s="23" t="n"/>
      <c r="D48" s="18">
        <f>IF(COUNTIFS(Registro!$C$2:$C$1501,$A48)=0,"",_xlfn.MINIFS(Registro!$A$2:$A$1501,Registro!$C$2:$C$1501,$A48))</f>
        <v/>
      </c>
      <c r="E48" s="12">
        <f>IF($A48="","",COUNTIFS(Registro!$C$2:$C$1501,$A48,Registro!$E$2:$E$1501,"&gt;0"))</f>
        <v/>
      </c>
      <c r="F48" s="10">
        <f>IF($A48="","",SUMIFS(Registro!$E$2:$E$1501,Registro!$C$2:$C$1501,$A48,Registro!$B$2:$B$1501,"Test ABO"))</f>
        <v/>
      </c>
      <c r="G48" s="24">
        <f>IF($A48="","",F48/CPA_BE)</f>
        <v/>
      </c>
      <c r="H48" s="12">
        <f>IF($A48="","",SUMIFS(Registro!$H$2:$H$1501,Registro!$C$2:$C$1501,$A48,Registro!$B$2:$B$1501,"Test ABO"))</f>
        <v/>
      </c>
      <c r="I48" s="10">
        <f>IF(N(H48)&gt;0,F48/H48,"")</f>
        <v/>
      </c>
      <c r="J48" s="25">
        <f>IF(N(H48)&gt;0,I48/CPA_BE-1,"")</f>
        <v/>
      </c>
      <c r="K48" s="11">
        <f>IF(N(F48)&gt;0,SUMIFS(Registro!$I$2:$I$1501,Registro!$C$2:$C$1501,$A48,Registro!$B$2:$B$1501,"Test ABO")/F48,"")</f>
        <v/>
      </c>
      <c r="L48" s="10">
        <f>IF(N(F48)&gt;0,SUMIFS(Registro!$I$2:$I$1501,Registro!$C$2:$C$1501,$A48,Registro!$B$2:$B$1501,"Test ABO")*(1-COM-COM_SHOP)-F48*(1+IMP_META),"")</f>
        <v/>
      </c>
      <c r="M48" s="13">
        <f>IF(SUMIFS(Registro!$F$2:$F$1501,Registro!$C$2:$C$1501,$A48,Registro!$B$2:$B$1501,"Test ABO")&gt;0,SUMIFS(Registro!$G$2:$G$1501,Registro!$C$2:$C$1501,$A48,Registro!$B$2:$B$1501,"Test ABO")/SUMIFS(Registro!$F$2:$F$1501,Registro!$C$2:$C$1501,$A48,Registro!$B$2:$B$1501,"Test ABO"),"")</f>
        <v/>
      </c>
      <c r="N48" s="9">
        <f>IF($A48="","",IF(N(F48)=0,"Sin datos",IF(AND(H48&gt;=MIN_VENTAS,N(I48)&lt;=CPA_BE),"GANADOR → pasar a CBO",IF(AND(H48=0,F48&gt;=K_SIN_VENTA*CPA_BE),"APAGAR (sin ventas)",IF(AND(H48&gt;0,F48&gt;=K_CARO*CPA_BE,N(I48)&gt;CPA_BE*(1+TOL)),"APAGAR (CPA alto)",IF(AND(H48&gt;0,N(I48)&lt;=CPA_BE*(1+TOL)),"Prometedor / cerca del BE","Juntando datos"))))))</f>
        <v/>
      </c>
      <c r="O48" s="10">
        <f>IF($A48="","",SUMIFS(Registro!$E$2:$E$1501,Registro!$C$2:$C$1501,$A48,Registro!$B$2:$B$1501,"Escala CBO"))</f>
        <v/>
      </c>
      <c r="P48" s="12">
        <f>IF($A48="","",SUMIFS(Registro!$H$2:$H$1501,Registro!$C$2:$C$1501,$A48,Registro!$B$2:$B$1501,"Escala CBO"))</f>
        <v/>
      </c>
      <c r="Q48" s="10">
        <f>IF(N(P48)&gt;0,O48/P48,"")</f>
        <v/>
      </c>
      <c r="R48" s="11">
        <f>IF(N(O48)&gt;0,SUMIFS(Registro!$I$2:$I$1501,Registro!$C$2:$C$1501,$A48,Registro!$B$2:$B$1501,"Escala CBO")/O48,"")</f>
        <v/>
      </c>
      <c r="S48" s="10">
        <f>IF(N(O48)&gt;0,SUMIFS(Registro!$I$2:$I$1501,Registro!$C$2:$C$1501,$A48,Registro!$B$2:$B$1501,"Escala CBO")*(1-COM-COM_SHOP)-O48*(1+IMP_META),"")</f>
        <v/>
      </c>
      <c r="T48" s="9">
        <f>IF(N(O48)=0,"",IF(P48=0,IF(O48&gt;=K_SIN_VENTA*CPA_BE,"Sin ventas: revisar","Juntando datos"),IF(Q48&lt;=CPA_BE,"Rentable","No rentable")))</f>
        <v/>
      </c>
      <c r="U48" s="10">
        <f>IF($A48="","",N(L48)+N(S48))</f>
        <v/>
      </c>
    </row>
    <row r="49">
      <c r="A49" s="23" t="n"/>
      <c r="B49" s="23" t="n"/>
      <c r="C49" s="23" t="n"/>
      <c r="D49" s="18">
        <f>IF(COUNTIFS(Registro!$C$2:$C$1501,$A49)=0,"",_xlfn.MINIFS(Registro!$A$2:$A$1501,Registro!$C$2:$C$1501,$A49))</f>
        <v/>
      </c>
      <c r="E49" s="12">
        <f>IF($A49="","",COUNTIFS(Registro!$C$2:$C$1501,$A49,Registro!$E$2:$E$1501,"&gt;0"))</f>
        <v/>
      </c>
      <c r="F49" s="10">
        <f>IF($A49="","",SUMIFS(Registro!$E$2:$E$1501,Registro!$C$2:$C$1501,$A49,Registro!$B$2:$B$1501,"Test ABO"))</f>
        <v/>
      </c>
      <c r="G49" s="24">
        <f>IF($A49="","",F49/CPA_BE)</f>
        <v/>
      </c>
      <c r="H49" s="12">
        <f>IF($A49="","",SUMIFS(Registro!$H$2:$H$1501,Registro!$C$2:$C$1501,$A49,Registro!$B$2:$B$1501,"Test ABO"))</f>
        <v/>
      </c>
      <c r="I49" s="10">
        <f>IF(N(H49)&gt;0,F49/H49,"")</f>
        <v/>
      </c>
      <c r="J49" s="25">
        <f>IF(N(H49)&gt;0,I49/CPA_BE-1,"")</f>
        <v/>
      </c>
      <c r="K49" s="11">
        <f>IF(N(F49)&gt;0,SUMIFS(Registro!$I$2:$I$1501,Registro!$C$2:$C$1501,$A49,Registro!$B$2:$B$1501,"Test ABO")/F49,"")</f>
        <v/>
      </c>
      <c r="L49" s="10">
        <f>IF(N(F49)&gt;0,SUMIFS(Registro!$I$2:$I$1501,Registro!$C$2:$C$1501,$A49,Registro!$B$2:$B$1501,"Test ABO")*(1-COM-COM_SHOP)-F49*(1+IMP_META),"")</f>
        <v/>
      </c>
      <c r="M49" s="13">
        <f>IF(SUMIFS(Registro!$F$2:$F$1501,Registro!$C$2:$C$1501,$A49,Registro!$B$2:$B$1501,"Test ABO")&gt;0,SUMIFS(Registro!$G$2:$G$1501,Registro!$C$2:$C$1501,$A49,Registro!$B$2:$B$1501,"Test ABO")/SUMIFS(Registro!$F$2:$F$1501,Registro!$C$2:$C$1501,$A49,Registro!$B$2:$B$1501,"Test ABO"),"")</f>
        <v/>
      </c>
      <c r="N49" s="9">
        <f>IF($A49="","",IF(N(F49)=0,"Sin datos",IF(AND(H49&gt;=MIN_VENTAS,N(I49)&lt;=CPA_BE),"GANADOR → pasar a CBO",IF(AND(H49=0,F49&gt;=K_SIN_VENTA*CPA_BE),"APAGAR (sin ventas)",IF(AND(H49&gt;0,F49&gt;=K_CARO*CPA_BE,N(I49)&gt;CPA_BE*(1+TOL)),"APAGAR (CPA alto)",IF(AND(H49&gt;0,N(I49)&lt;=CPA_BE*(1+TOL)),"Prometedor / cerca del BE","Juntando datos"))))))</f>
        <v/>
      </c>
      <c r="O49" s="10">
        <f>IF($A49="","",SUMIFS(Registro!$E$2:$E$1501,Registro!$C$2:$C$1501,$A49,Registro!$B$2:$B$1501,"Escala CBO"))</f>
        <v/>
      </c>
      <c r="P49" s="12">
        <f>IF($A49="","",SUMIFS(Registro!$H$2:$H$1501,Registro!$C$2:$C$1501,$A49,Registro!$B$2:$B$1501,"Escala CBO"))</f>
        <v/>
      </c>
      <c r="Q49" s="10">
        <f>IF(N(P49)&gt;0,O49/P49,"")</f>
        <v/>
      </c>
      <c r="R49" s="11">
        <f>IF(N(O49)&gt;0,SUMIFS(Registro!$I$2:$I$1501,Registro!$C$2:$C$1501,$A49,Registro!$B$2:$B$1501,"Escala CBO")/O49,"")</f>
        <v/>
      </c>
      <c r="S49" s="10">
        <f>IF(N(O49)&gt;0,SUMIFS(Registro!$I$2:$I$1501,Registro!$C$2:$C$1501,$A49,Registro!$B$2:$B$1501,"Escala CBO")*(1-COM-COM_SHOP)-O49*(1+IMP_META),"")</f>
        <v/>
      </c>
      <c r="T49" s="9">
        <f>IF(N(O49)=0,"",IF(P49=0,IF(O49&gt;=K_SIN_VENTA*CPA_BE,"Sin ventas: revisar","Juntando datos"),IF(Q49&lt;=CPA_BE,"Rentable","No rentable")))</f>
        <v/>
      </c>
      <c r="U49" s="10">
        <f>IF($A49="","",N(L49)+N(S49))</f>
        <v/>
      </c>
    </row>
    <row r="50">
      <c r="A50" s="23" t="n"/>
      <c r="B50" s="23" t="n"/>
      <c r="C50" s="23" t="n"/>
      <c r="D50" s="18">
        <f>IF(COUNTIFS(Registro!$C$2:$C$1501,$A50)=0,"",_xlfn.MINIFS(Registro!$A$2:$A$1501,Registro!$C$2:$C$1501,$A50))</f>
        <v/>
      </c>
      <c r="E50" s="12">
        <f>IF($A50="","",COUNTIFS(Registro!$C$2:$C$1501,$A50,Registro!$E$2:$E$1501,"&gt;0"))</f>
        <v/>
      </c>
      <c r="F50" s="10">
        <f>IF($A50="","",SUMIFS(Registro!$E$2:$E$1501,Registro!$C$2:$C$1501,$A50,Registro!$B$2:$B$1501,"Test ABO"))</f>
        <v/>
      </c>
      <c r="G50" s="24">
        <f>IF($A50="","",F50/CPA_BE)</f>
        <v/>
      </c>
      <c r="H50" s="12">
        <f>IF($A50="","",SUMIFS(Registro!$H$2:$H$1501,Registro!$C$2:$C$1501,$A50,Registro!$B$2:$B$1501,"Test ABO"))</f>
        <v/>
      </c>
      <c r="I50" s="10">
        <f>IF(N(H50)&gt;0,F50/H50,"")</f>
        <v/>
      </c>
      <c r="J50" s="25">
        <f>IF(N(H50)&gt;0,I50/CPA_BE-1,"")</f>
        <v/>
      </c>
      <c r="K50" s="11">
        <f>IF(N(F50)&gt;0,SUMIFS(Registro!$I$2:$I$1501,Registro!$C$2:$C$1501,$A50,Registro!$B$2:$B$1501,"Test ABO")/F50,"")</f>
        <v/>
      </c>
      <c r="L50" s="10">
        <f>IF(N(F50)&gt;0,SUMIFS(Registro!$I$2:$I$1501,Registro!$C$2:$C$1501,$A50,Registro!$B$2:$B$1501,"Test ABO")*(1-COM-COM_SHOP)-F50*(1+IMP_META),"")</f>
        <v/>
      </c>
      <c r="M50" s="13">
        <f>IF(SUMIFS(Registro!$F$2:$F$1501,Registro!$C$2:$C$1501,$A50,Registro!$B$2:$B$1501,"Test ABO")&gt;0,SUMIFS(Registro!$G$2:$G$1501,Registro!$C$2:$C$1501,$A50,Registro!$B$2:$B$1501,"Test ABO")/SUMIFS(Registro!$F$2:$F$1501,Registro!$C$2:$C$1501,$A50,Registro!$B$2:$B$1501,"Test ABO"),"")</f>
        <v/>
      </c>
      <c r="N50" s="9">
        <f>IF($A50="","",IF(N(F50)=0,"Sin datos",IF(AND(H50&gt;=MIN_VENTAS,N(I50)&lt;=CPA_BE),"GANADOR → pasar a CBO",IF(AND(H50=0,F50&gt;=K_SIN_VENTA*CPA_BE),"APAGAR (sin ventas)",IF(AND(H50&gt;0,F50&gt;=K_CARO*CPA_BE,N(I50)&gt;CPA_BE*(1+TOL)),"APAGAR (CPA alto)",IF(AND(H50&gt;0,N(I50)&lt;=CPA_BE*(1+TOL)),"Prometedor / cerca del BE","Juntando datos"))))))</f>
        <v/>
      </c>
      <c r="O50" s="10">
        <f>IF($A50="","",SUMIFS(Registro!$E$2:$E$1501,Registro!$C$2:$C$1501,$A50,Registro!$B$2:$B$1501,"Escala CBO"))</f>
        <v/>
      </c>
      <c r="P50" s="12">
        <f>IF($A50="","",SUMIFS(Registro!$H$2:$H$1501,Registro!$C$2:$C$1501,$A50,Registro!$B$2:$B$1501,"Escala CBO"))</f>
        <v/>
      </c>
      <c r="Q50" s="10">
        <f>IF(N(P50)&gt;0,O50/P50,"")</f>
        <v/>
      </c>
      <c r="R50" s="11">
        <f>IF(N(O50)&gt;0,SUMIFS(Registro!$I$2:$I$1501,Registro!$C$2:$C$1501,$A50,Registro!$B$2:$B$1501,"Escala CBO")/O50,"")</f>
        <v/>
      </c>
      <c r="S50" s="10">
        <f>IF(N(O50)&gt;0,SUMIFS(Registro!$I$2:$I$1501,Registro!$C$2:$C$1501,$A50,Registro!$B$2:$B$1501,"Escala CBO")*(1-COM-COM_SHOP)-O50*(1+IMP_META),"")</f>
        <v/>
      </c>
      <c r="T50" s="9">
        <f>IF(N(O50)=0,"",IF(P50=0,IF(O50&gt;=K_SIN_VENTA*CPA_BE,"Sin ventas: revisar","Juntando datos"),IF(Q50&lt;=CPA_BE,"Rentable","No rentable")))</f>
        <v/>
      </c>
      <c r="U50" s="10">
        <f>IF($A50="","",N(L50)+N(S50))</f>
        <v/>
      </c>
    </row>
    <row r="51">
      <c r="A51" s="23" t="n"/>
      <c r="B51" s="23" t="n"/>
      <c r="C51" s="23" t="n"/>
      <c r="D51" s="18">
        <f>IF(COUNTIFS(Registro!$C$2:$C$1501,$A51)=0,"",_xlfn.MINIFS(Registro!$A$2:$A$1501,Registro!$C$2:$C$1501,$A51))</f>
        <v/>
      </c>
      <c r="E51" s="12">
        <f>IF($A51="","",COUNTIFS(Registro!$C$2:$C$1501,$A51,Registro!$E$2:$E$1501,"&gt;0"))</f>
        <v/>
      </c>
      <c r="F51" s="10">
        <f>IF($A51="","",SUMIFS(Registro!$E$2:$E$1501,Registro!$C$2:$C$1501,$A51,Registro!$B$2:$B$1501,"Test ABO"))</f>
        <v/>
      </c>
      <c r="G51" s="24">
        <f>IF($A51="","",F51/CPA_BE)</f>
        <v/>
      </c>
      <c r="H51" s="12">
        <f>IF($A51="","",SUMIFS(Registro!$H$2:$H$1501,Registro!$C$2:$C$1501,$A51,Registro!$B$2:$B$1501,"Test ABO"))</f>
        <v/>
      </c>
      <c r="I51" s="10">
        <f>IF(N(H51)&gt;0,F51/H51,"")</f>
        <v/>
      </c>
      <c r="J51" s="25">
        <f>IF(N(H51)&gt;0,I51/CPA_BE-1,"")</f>
        <v/>
      </c>
      <c r="K51" s="11">
        <f>IF(N(F51)&gt;0,SUMIFS(Registro!$I$2:$I$1501,Registro!$C$2:$C$1501,$A51,Registro!$B$2:$B$1501,"Test ABO")/F51,"")</f>
        <v/>
      </c>
      <c r="L51" s="10">
        <f>IF(N(F51)&gt;0,SUMIFS(Registro!$I$2:$I$1501,Registro!$C$2:$C$1501,$A51,Registro!$B$2:$B$1501,"Test ABO")*(1-COM-COM_SHOP)-F51*(1+IMP_META),"")</f>
        <v/>
      </c>
      <c r="M51" s="13">
        <f>IF(SUMIFS(Registro!$F$2:$F$1501,Registro!$C$2:$C$1501,$A51,Registro!$B$2:$B$1501,"Test ABO")&gt;0,SUMIFS(Registro!$G$2:$G$1501,Registro!$C$2:$C$1501,$A51,Registro!$B$2:$B$1501,"Test ABO")/SUMIFS(Registro!$F$2:$F$1501,Registro!$C$2:$C$1501,$A51,Registro!$B$2:$B$1501,"Test ABO"),"")</f>
        <v/>
      </c>
      <c r="N51" s="9">
        <f>IF($A51="","",IF(N(F51)=0,"Sin datos",IF(AND(H51&gt;=MIN_VENTAS,N(I51)&lt;=CPA_BE),"GANADOR → pasar a CBO",IF(AND(H51=0,F51&gt;=K_SIN_VENTA*CPA_BE),"APAGAR (sin ventas)",IF(AND(H51&gt;0,F51&gt;=K_CARO*CPA_BE,N(I51)&gt;CPA_BE*(1+TOL)),"APAGAR (CPA alto)",IF(AND(H51&gt;0,N(I51)&lt;=CPA_BE*(1+TOL)),"Prometedor / cerca del BE","Juntando datos"))))))</f>
        <v/>
      </c>
      <c r="O51" s="10">
        <f>IF($A51="","",SUMIFS(Registro!$E$2:$E$1501,Registro!$C$2:$C$1501,$A51,Registro!$B$2:$B$1501,"Escala CBO"))</f>
        <v/>
      </c>
      <c r="P51" s="12">
        <f>IF($A51="","",SUMIFS(Registro!$H$2:$H$1501,Registro!$C$2:$C$1501,$A51,Registro!$B$2:$B$1501,"Escala CBO"))</f>
        <v/>
      </c>
      <c r="Q51" s="10">
        <f>IF(N(P51)&gt;0,O51/P51,"")</f>
        <v/>
      </c>
      <c r="R51" s="11">
        <f>IF(N(O51)&gt;0,SUMIFS(Registro!$I$2:$I$1501,Registro!$C$2:$C$1501,$A51,Registro!$B$2:$B$1501,"Escala CBO")/O51,"")</f>
        <v/>
      </c>
      <c r="S51" s="10">
        <f>IF(N(O51)&gt;0,SUMIFS(Registro!$I$2:$I$1501,Registro!$C$2:$C$1501,$A51,Registro!$B$2:$B$1501,"Escala CBO")*(1-COM-COM_SHOP)-O51*(1+IMP_META),"")</f>
        <v/>
      </c>
      <c r="T51" s="9">
        <f>IF(N(O51)=0,"",IF(P51=0,IF(O51&gt;=K_SIN_VENTA*CPA_BE,"Sin ventas: revisar","Juntando datos"),IF(Q51&lt;=CPA_BE,"Rentable","No rentable")))</f>
        <v/>
      </c>
      <c r="U51" s="10">
        <f>IF($A51="","",N(L51)+N(S51))</f>
        <v/>
      </c>
    </row>
    <row r="52">
      <c r="A52" s="23" t="n"/>
      <c r="B52" s="23" t="n"/>
      <c r="C52" s="23" t="n"/>
      <c r="D52" s="18">
        <f>IF(COUNTIFS(Registro!$C$2:$C$1501,$A52)=0,"",_xlfn.MINIFS(Registro!$A$2:$A$1501,Registro!$C$2:$C$1501,$A52))</f>
        <v/>
      </c>
      <c r="E52" s="12">
        <f>IF($A52="","",COUNTIFS(Registro!$C$2:$C$1501,$A52,Registro!$E$2:$E$1501,"&gt;0"))</f>
        <v/>
      </c>
      <c r="F52" s="10">
        <f>IF($A52="","",SUMIFS(Registro!$E$2:$E$1501,Registro!$C$2:$C$1501,$A52,Registro!$B$2:$B$1501,"Test ABO"))</f>
        <v/>
      </c>
      <c r="G52" s="24">
        <f>IF($A52="","",F52/CPA_BE)</f>
        <v/>
      </c>
      <c r="H52" s="12">
        <f>IF($A52="","",SUMIFS(Registro!$H$2:$H$1501,Registro!$C$2:$C$1501,$A52,Registro!$B$2:$B$1501,"Test ABO"))</f>
        <v/>
      </c>
      <c r="I52" s="10">
        <f>IF(N(H52)&gt;0,F52/H52,"")</f>
        <v/>
      </c>
      <c r="J52" s="25">
        <f>IF(N(H52)&gt;0,I52/CPA_BE-1,"")</f>
        <v/>
      </c>
      <c r="K52" s="11">
        <f>IF(N(F52)&gt;0,SUMIFS(Registro!$I$2:$I$1501,Registro!$C$2:$C$1501,$A52,Registro!$B$2:$B$1501,"Test ABO")/F52,"")</f>
        <v/>
      </c>
      <c r="L52" s="10">
        <f>IF(N(F52)&gt;0,SUMIFS(Registro!$I$2:$I$1501,Registro!$C$2:$C$1501,$A52,Registro!$B$2:$B$1501,"Test ABO")*(1-COM-COM_SHOP)-F52*(1+IMP_META),"")</f>
        <v/>
      </c>
      <c r="M52" s="13">
        <f>IF(SUMIFS(Registro!$F$2:$F$1501,Registro!$C$2:$C$1501,$A52,Registro!$B$2:$B$1501,"Test ABO")&gt;0,SUMIFS(Registro!$G$2:$G$1501,Registro!$C$2:$C$1501,$A52,Registro!$B$2:$B$1501,"Test ABO")/SUMIFS(Registro!$F$2:$F$1501,Registro!$C$2:$C$1501,$A52,Registro!$B$2:$B$1501,"Test ABO"),"")</f>
        <v/>
      </c>
      <c r="N52" s="9">
        <f>IF($A52="","",IF(N(F52)=0,"Sin datos",IF(AND(H52&gt;=MIN_VENTAS,N(I52)&lt;=CPA_BE),"GANADOR → pasar a CBO",IF(AND(H52=0,F52&gt;=K_SIN_VENTA*CPA_BE),"APAGAR (sin ventas)",IF(AND(H52&gt;0,F52&gt;=K_CARO*CPA_BE,N(I52)&gt;CPA_BE*(1+TOL)),"APAGAR (CPA alto)",IF(AND(H52&gt;0,N(I52)&lt;=CPA_BE*(1+TOL)),"Prometedor / cerca del BE","Juntando datos"))))))</f>
        <v/>
      </c>
      <c r="O52" s="10">
        <f>IF($A52="","",SUMIFS(Registro!$E$2:$E$1501,Registro!$C$2:$C$1501,$A52,Registro!$B$2:$B$1501,"Escala CBO"))</f>
        <v/>
      </c>
      <c r="P52" s="12">
        <f>IF($A52="","",SUMIFS(Registro!$H$2:$H$1501,Registro!$C$2:$C$1501,$A52,Registro!$B$2:$B$1501,"Escala CBO"))</f>
        <v/>
      </c>
      <c r="Q52" s="10">
        <f>IF(N(P52)&gt;0,O52/P52,"")</f>
        <v/>
      </c>
      <c r="R52" s="11">
        <f>IF(N(O52)&gt;0,SUMIFS(Registro!$I$2:$I$1501,Registro!$C$2:$C$1501,$A52,Registro!$B$2:$B$1501,"Escala CBO")/O52,"")</f>
        <v/>
      </c>
      <c r="S52" s="10">
        <f>IF(N(O52)&gt;0,SUMIFS(Registro!$I$2:$I$1501,Registro!$C$2:$C$1501,$A52,Registro!$B$2:$B$1501,"Escala CBO")*(1-COM-COM_SHOP)-O52*(1+IMP_META),"")</f>
        <v/>
      </c>
      <c r="T52" s="9">
        <f>IF(N(O52)=0,"",IF(P52=0,IF(O52&gt;=K_SIN_VENTA*CPA_BE,"Sin ventas: revisar","Juntando datos"),IF(Q52&lt;=CPA_BE,"Rentable","No rentable")))</f>
        <v/>
      </c>
      <c r="U52" s="10">
        <f>IF($A52="","",N(L52)+N(S52))</f>
        <v/>
      </c>
    </row>
    <row r="53">
      <c r="A53" s="23" t="n"/>
      <c r="B53" s="23" t="n"/>
      <c r="C53" s="23" t="n"/>
      <c r="D53" s="18">
        <f>IF(COUNTIFS(Registro!$C$2:$C$1501,$A53)=0,"",_xlfn.MINIFS(Registro!$A$2:$A$1501,Registro!$C$2:$C$1501,$A53))</f>
        <v/>
      </c>
      <c r="E53" s="12">
        <f>IF($A53="","",COUNTIFS(Registro!$C$2:$C$1501,$A53,Registro!$E$2:$E$1501,"&gt;0"))</f>
        <v/>
      </c>
      <c r="F53" s="10">
        <f>IF($A53="","",SUMIFS(Registro!$E$2:$E$1501,Registro!$C$2:$C$1501,$A53,Registro!$B$2:$B$1501,"Test ABO"))</f>
        <v/>
      </c>
      <c r="G53" s="24">
        <f>IF($A53="","",F53/CPA_BE)</f>
        <v/>
      </c>
      <c r="H53" s="12">
        <f>IF($A53="","",SUMIFS(Registro!$H$2:$H$1501,Registro!$C$2:$C$1501,$A53,Registro!$B$2:$B$1501,"Test ABO"))</f>
        <v/>
      </c>
      <c r="I53" s="10">
        <f>IF(N(H53)&gt;0,F53/H53,"")</f>
        <v/>
      </c>
      <c r="J53" s="25">
        <f>IF(N(H53)&gt;0,I53/CPA_BE-1,"")</f>
        <v/>
      </c>
      <c r="K53" s="11">
        <f>IF(N(F53)&gt;0,SUMIFS(Registro!$I$2:$I$1501,Registro!$C$2:$C$1501,$A53,Registro!$B$2:$B$1501,"Test ABO")/F53,"")</f>
        <v/>
      </c>
      <c r="L53" s="10">
        <f>IF(N(F53)&gt;0,SUMIFS(Registro!$I$2:$I$1501,Registro!$C$2:$C$1501,$A53,Registro!$B$2:$B$1501,"Test ABO")*(1-COM-COM_SHOP)-F53*(1+IMP_META),"")</f>
        <v/>
      </c>
      <c r="M53" s="13">
        <f>IF(SUMIFS(Registro!$F$2:$F$1501,Registro!$C$2:$C$1501,$A53,Registro!$B$2:$B$1501,"Test ABO")&gt;0,SUMIFS(Registro!$G$2:$G$1501,Registro!$C$2:$C$1501,$A53,Registro!$B$2:$B$1501,"Test ABO")/SUMIFS(Registro!$F$2:$F$1501,Registro!$C$2:$C$1501,$A53,Registro!$B$2:$B$1501,"Test ABO"),"")</f>
        <v/>
      </c>
      <c r="N53" s="9">
        <f>IF($A53="","",IF(N(F53)=0,"Sin datos",IF(AND(H53&gt;=MIN_VENTAS,N(I53)&lt;=CPA_BE),"GANADOR → pasar a CBO",IF(AND(H53=0,F53&gt;=K_SIN_VENTA*CPA_BE),"APAGAR (sin ventas)",IF(AND(H53&gt;0,F53&gt;=K_CARO*CPA_BE,N(I53)&gt;CPA_BE*(1+TOL)),"APAGAR (CPA alto)",IF(AND(H53&gt;0,N(I53)&lt;=CPA_BE*(1+TOL)),"Prometedor / cerca del BE","Juntando datos"))))))</f>
        <v/>
      </c>
      <c r="O53" s="10">
        <f>IF($A53="","",SUMIFS(Registro!$E$2:$E$1501,Registro!$C$2:$C$1501,$A53,Registro!$B$2:$B$1501,"Escala CBO"))</f>
        <v/>
      </c>
      <c r="P53" s="12">
        <f>IF($A53="","",SUMIFS(Registro!$H$2:$H$1501,Registro!$C$2:$C$1501,$A53,Registro!$B$2:$B$1501,"Escala CBO"))</f>
        <v/>
      </c>
      <c r="Q53" s="10">
        <f>IF(N(P53)&gt;0,O53/P53,"")</f>
        <v/>
      </c>
      <c r="R53" s="11">
        <f>IF(N(O53)&gt;0,SUMIFS(Registro!$I$2:$I$1501,Registro!$C$2:$C$1501,$A53,Registro!$B$2:$B$1501,"Escala CBO")/O53,"")</f>
        <v/>
      </c>
      <c r="S53" s="10">
        <f>IF(N(O53)&gt;0,SUMIFS(Registro!$I$2:$I$1501,Registro!$C$2:$C$1501,$A53,Registro!$B$2:$B$1501,"Escala CBO")*(1-COM-COM_SHOP)-O53*(1+IMP_META),"")</f>
        <v/>
      </c>
      <c r="T53" s="9">
        <f>IF(N(O53)=0,"",IF(P53=0,IF(O53&gt;=K_SIN_VENTA*CPA_BE,"Sin ventas: revisar","Juntando datos"),IF(Q53&lt;=CPA_BE,"Rentable","No rentable")))</f>
        <v/>
      </c>
      <c r="U53" s="10">
        <f>IF($A53="","",N(L53)+N(S53))</f>
        <v/>
      </c>
    </row>
    <row r="54">
      <c r="A54" s="23" t="n"/>
      <c r="B54" s="23" t="n"/>
      <c r="C54" s="23" t="n"/>
      <c r="D54" s="18">
        <f>IF(COUNTIFS(Registro!$C$2:$C$1501,$A54)=0,"",_xlfn.MINIFS(Registro!$A$2:$A$1501,Registro!$C$2:$C$1501,$A54))</f>
        <v/>
      </c>
      <c r="E54" s="12">
        <f>IF($A54="","",COUNTIFS(Registro!$C$2:$C$1501,$A54,Registro!$E$2:$E$1501,"&gt;0"))</f>
        <v/>
      </c>
      <c r="F54" s="10">
        <f>IF($A54="","",SUMIFS(Registro!$E$2:$E$1501,Registro!$C$2:$C$1501,$A54,Registro!$B$2:$B$1501,"Test ABO"))</f>
        <v/>
      </c>
      <c r="G54" s="24">
        <f>IF($A54="","",F54/CPA_BE)</f>
        <v/>
      </c>
      <c r="H54" s="12">
        <f>IF($A54="","",SUMIFS(Registro!$H$2:$H$1501,Registro!$C$2:$C$1501,$A54,Registro!$B$2:$B$1501,"Test ABO"))</f>
        <v/>
      </c>
      <c r="I54" s="10">
        <f>IF(N(H54)&gt;0,F54/H54,"")</f>
        <v/>
      </c>
      <c r="J54" s="25">
        <f>IF(N(H54)&gt;0,I54/CPA_BE-1,"")</f>
        <v/>
      </c>
      <c r="K54" s="11">
        <f>IF(N(F54)&gt;0,SUMIFS(Registro!$I$2:$I$1501,Registro!$C$2:$C$1501,$A54,Registro!$B$2:$B$1501,"Test ABO")/F54,"")</f>
        <v/>
      </c>
      <c r="L54" s="10">
        <f>IF(N(F54)&gt;0,SUMIFS(Registro!$I$2:$I$1501,Registro!$C$2:$C$1501,$A54,Registro!$B$2:$B$1501,"Test ABO")*(1-COM-COM_SHOP)-F54*(1+IMP_META),"")</f>
        <v/>
      </c>
      <c r="M54" s="13">
        <f>IF(SUMIFS(Registro!$F$2:$F$1501,Registro!$C$2:$C$1501,$A54,Registro!$B$2:$B$1501,"Test ABO")&gt;0,SUMIFS(Registro!$G$2:$G$1501,Registro!$C$2:$C$1501,$A54,Registro!$B$2:$B$1501,"Test ABO")/SUMIFS(Registro!$F$2:$F$1501,Registro!$C$2:$C$1501,$A54,Registro!$B$2:$B$1501,"Test ABO"),"")</f>
        <v/>
      </c>
      <c r="N54" s="9">
        <f>IF($A54="","",IF(N(F54)=0,"Sin datos",IF(AND(H54&gt;=MIN_VENTAS,N(I54)&lt;=CPA_BE),"GANADOR → pasar a CBO",IF(AND(H54=0,F54&gt;=K_SIN_VENTA*CPA_BE),"APAGAR (sin ventas)",IF(AND(H54&gt;0,F54&gt;=K_CARO*CPA_BE,N(I54)&gt;CPA_BE*(1+TOL)),"APAGAR (CPA alto)",IF(AND(H54&gt;0,N(I54)&lt;=CPA_BE*(1+TOL)),"Prometedor / cerca del BE","Juntando datos"))))))</f>
        <v/>
      </c>
      <c r="O54" s="10">
        <f>IF($A54="","",SUMIFS(Registro!$E$2:$E$1501,Registro!$C$2:$C$1501,$A54,Registro!$B$2:$B$1501,"Escala CBO"))</f>
        <v/>
      </c>
      <c r="P54" s="12">
        <f>IF($A54="","",SUMIFS(Registro!$H$2:$H$1501,Registro!$C$2:$C$1501,$A54,Registro!$B$2:$B$1501,"Escala CBO"))</f>
        <v/>
      </c>
      <c r="Q54" s="10">
        <f>IF(N(P54)&gt;0,O54/P54,"")</f>
        <v/>
      </c>
      <c r="R54" s="11">
        <f>IF(N(O54)&gt;0,SUMIFS(Registro!$I$2:$I$1501,Registro!$C$2:$C$1501,$A54,Registro!$B$2:$B$1501,"Escala CBO")/O54,"")</f>
        <v/>
      </c>
      <c r="S54" s="10">
        <f>IF(N(O54)&gt;0,SUMIFS(Registro!$I$2:$I$1501,Registro!$C$2:$C$1501,$A54,Registro!$B$2:$B$1501,"Escala CBO")*(1-COM-COM_SHOP)-O54*(1+IMP_META),"")</f>
        <v/>
      </c>
      <c r="T54" s="9">
        <f>IF(N(O54)=0,"",IF(P54=0,IF(O54&gt;=K_SIN_VENTA*CPA_BE,"Sin ventas: revisar","Juntando datos"),IF(Q54&lt;=CPA_BE,"Rentable","No rentable")))</f>
        <v/>
      </c>
      <c r="U54" s="10">
        <f>IF($A54="","",N(L54)+N(S54))</f>
        <v/>
      </c>
    </row>
    <row r="55">
      <c r="A55" s="23" t="n"/>
      <c r="B55" s="23" t="n"/>
      <c r="C55" s="23" t="n"/>
      <c r="D55" s="18">
        <f>IF(COUNTIFS(Registro!$C$2:$C$1501,$A55)=0,"",_xlfn.MINIFS(Registro!$A$2:$A$1501,Registro!$C$2:$C$1501,$A55))</f>
        <v/>
      </c>
      <c r="E55" s="12">
        <f>IF($A55="","",COUNTIFS(Registro!$C$2:$C$1501,$A55,Registro!$E$2:$E$1501,"&gt;0"))</f>
        <v/>
      </c>
      <c r="F55" s="10">
        <f>IF($A55="","",SUMIFS(Registro!$E$2:$E$1501,Registro!$C$2:$C$1501,$A55,Registro!$B$2:$B$1501,"Test ABO"))</f>
        <v/>
      </c>
      <c r="G55" s="24">
        <f>IF($A55="","",F55/CPA_BE)</f>
        <v/>
      </c>
      <c r="H55" s="12">
        <f>IF($A55="","",SUMIFS(Registro!$H$2:$H$1501,Registro!$C$2:$C$1501,$A55,Registro!$B$2:$B$1501,"Test ABO"))</f>
        <v/>
      </c>
      <c r="I55" s="10">
        <f>IF(N(H55)&gt;0,F55/H55,"")</f>
        <v/>
      </c>
      <c r="J55" s="25">
        <f>IF(N(H55)&gt;0,I55/CPA_BE-1,"")</f>
        <v/>
      </c>
      <c r="K55" s="11">
        <f>IF(N(F55)&gt;0,SUMIFS(Registro!$I$2:$I$1501,Registro!$C$2:$C$1501,$A55,Registro!$B$2:$B$1501,"Test ABO")/F55,"")</f>
        <v/>
      </c>
      <c r="L55" s="10">
        <f>IF(N(F55)&gt;0,SUMIFS(Registro!$I$2:$I$1501,Registro!$C$2:$C$1501,$A55,Registro!$B$2:$B$1501,"Test ABO")*(1-COM-COM_SHOP)-F55*(1+IMP_META),"")</f>
        <v/>
      </c>
      <c r="M55" s="13">
        <f>IF(SUMIFS(Registro!$F$2:$F$1501,Registro!$C$2:$C$1501,$A55,Registro!$B$2:$B$1501,"Test ABO")&gt;0,SUMIFS(Registro!$G$2:$G$1501,Registro!$C$2:$C$1501,$A55,Registro!$B$2:$B$1501,"Test ABO")/SUMIFS(Registro!$F$2:$F$1501,Registro!$C$2:$C$1501,$A55,Registro!$B$2:$B$1501,"Test ABO"),"")</f>
        <v/>
      </c>
      <c r="N55" s="9">
        <f>IF($A55="","",IF(N(F55)=0,"Sin datos",IF(AND(H55&gt;=MIN_VENTAS,N(I55)&lt;=CPA_BE),"GANADOR → pasar a CBO",IF(AND(H55=0,F55&gt;=K_SIN_VENTA*CPA_BE),"APAGAR (sin ventas)",IF(AND(H55&gt;0,F55&gt;=K_CARO*CPA_BE,N(I55)&gt;CPA_BE*(1+TOL)),"APAGAR (CPA alto)",IF(AND(H55&gt;0,N(I55)&lt;=CPA_BE*(1+TOL)),"Prometedor / cerca del BE","Juntando datos"))))))</f>
        <v/>
      </c>
      <c r="O55" s="10">
        <f>IF($A55="","",SUMIFS(Registro!$E$2:$E$1501,Registro!$C$2:$C$1501,$A55,Registro!$B$2:$B$1501,"Escala CBO"))</f>
        <v/>
      </c>
      <c r="P55" s="12">
        <f>IF($A55="","",SUMIFS(Registro!$H$2:$H$1501,Registro!$C$2:$C$1501,$A55,Registro!$B$2:$B$1501,"Escala CBO"))</f>
        <v/>
      </c>
      <c r="Q55" s="10">
        <f>IF(N(P55)&gt;0,O55/P55,"")</f>
        <v/>
      </c>
      <c r="R55" s="11">
        <f>IF(N(O55)&gt;0,SUMIFS(Registro!$I$2:$I$1501,Registro!$C$2:$C$1501,$A55,Registro!$B$2:$B$1501,"Escala CBO")/O55,"")</f>
        <v/>
      </c>
      <c r="S55" s="10">
        <f>IF(N(O55)&gt;0,SUMIFS(Registro!$I$2:$I$1501,Registro!$C$2:$C$1501,$A55,Registro!$B$2:$B$1501,"Escala CBO")*(1-COM-COM_SHOP)-O55*(1+IMP_META),"")</f>
        <v/>
      </c>
      <c r="T55" s="9">
        <f>IF(N(O55)=0,"",IF(P55=0,IF(O55&gt;=K_SIN_VENTA*CPA_BE,"Sin ventas: revisar","Juntando datos"),IF(Q55&lt;=CPA_BE,"Rentable","No rentable")))</f>
        <v/>
      </c>
      <c r="U55" s="10">
        <f>IF($A55="","",N(L55)+N(S55))</f>
        <v/>
      </c>
    </row>
    <row r="56">
      <c r="A56" s="23" t="n"/>
      <c r="B56" s="23" t="n"/>
      <c r="C56" s="23" t="n"/>
      <c r="D56" s="18">
        <f>IF(COUNTIFS(Registro!$C$2:$C$1501,$A56)=0,"",_xlfn.MINIFS(Registro!$A$2:$A$1501,Registro!$C$2:$C$1501,$A56))</f>
        <v/>
      </c>
      <c r="E56" s="12">
        <f>IF($A56="","",COUNTIFS(Registro!$C$2:$C$1501,$A56,Registro!$E$2:$E$1501,"&gt;0"))</f>
        <v/>
      </c>
      <c r="F56" s="10">
        <f>IF($A56="","",SUMIFS(Registro!$E$2:$E$1501,Registro!$C$2:$C$1501,$A56,Registro!$B$2:$B$1501,"Test ABO"))</f>
        <v/>
      </c>
      <c r="G56" s="24">
        <f>IF($A56="","",F56/CPA_BE)</f>
        <v/>
      </c>
      <c r="H56" s="12">
        <f>IF($A56="","",SUMIFS(Registro!$H$2:$H$1501,Registro!$C$2:$C$1501,$A56,Registro!$B$2:$B$1501,"Test ABO"))</f>
        <v/>
      </c>
      <c r="I56" s="10">
        <f>IF(N(H56)&gt;0,F56/H56,"")</f>
        <v/>
      </c>
      <c r="J56" s="25">
        <f>IF(N(H56)&gt;0,I56/CPA_BE-1,"")</f>
        <v/>
      </c>
      <c r="K56" s="11">
        <f>IF(N(F56)&gt;0,SUMIFS(Registro!$I$2:$I$1501,Registro!$C$2:$C$1501,$A56,Registro!$B$2:$B$1501,"Test ABO")/F56,"")</f>
        <v/>
      </c>
      <c r="L56" s="10">
        <f>IF(N(F56)&gt;0,SUMIFS(Registro!$I$2:$I$1501,Registro!$C$2:$C$1501,$A56,Registro!$B$2:$B$1501,"Test ABO")*(1-COM-COM_SHOP)-F56*(1+IMP_META),"")</f>
        <v/>
      </c>
      <c r="M56" s="13">
        <f>IF(SUMIFS(Registro!$F$2:$F$1501,Registro!$C$2:$C$1501,$A56,Registro!$B$2:$B$1501,"Test ABO")&gt;0,SUMIFS(Registro!$G$2:$G$1501,Registro!$C$2:$C$1501,$A56,Registro!$B$2:$B$1501,"Test ABO")/SUMIFS(Registro!$F$2:$F$1501,Registro!$C$2:$C$1501,$A56,Registro!$B$2:$B$1501,"Test ABO"),"")</f>
        <v/>
      </c>
      <c r="N56" s="9">
        <f>IF($A56="","",IF(N(F56)=0,"Sin datos",IF(AND(H56&gt;=MIN_VENTAS,N(I56)&lt;=CPA_BE),"GANADOR → pasar a CBO",IF(AND(H56=0,F56&gt;=K_SIN_VENTA*CPA_BE),"APAGAR (sin ventas)",IF(AND(H56&gt;0,F56&gt;=K_CARO*CPA_BE,N(I56)&gt;CPA_BE*(1+TOL)),"APAGAR (CPA alto)",IF(AND(H56&gt;0,N(I56)&lt;=CPA_BE*(1+TOL)),"Prometedor / cerca del BE","Juntando datos"))))))</f>
        <v/>
      </c>
      <c r="O56" s="10">
        <f>IF($A56="","",SUMIFS(Registro!$E$2:$E$1501,Registro!$C$2:$C$1501,$A56,Registro!$B$2:$B$1501,"Escala CBO"))</f>
        <v/>
      </c>
      <c r="P56" s="12">
        <f>IF($A56="","",SUMIFS(Registro!$H$2:$H$1501,Registro!$C$2:$C$1501,$A56,Registro!$B$2:$B$1501,"Escala CBO"))</f>
        <v/>
      </c>
      <c r="Q56" s="10">
        <f>IF(N(P56)&gt;0,O56/P56,"")</f>
        <v/>
      </c>
      <c r="R56" s="11">
        <f>IF(N(O56)&gt;0,SUMIFS(Registro!$I$2:$I$1501,Registro!$C$2:$C$1501,$A56,Registro!$B$2:$B$1501,"Escala CBO")/O56,"")</f>
        <v/>
      </c>
      <c r="S56" s="10">
        <f>IF(N(O56)&gt;0,SUMIFS(Registro!$I$2:$I$1501,Registro!$C$2:$C$1501,$A56,Registro!$B$2:$B$1501,"Escala CBO")*(1-COM-COM_SHOP)-O56*(1+IMP_META),"")</f>
        <v/>
      </c>
      <c r="T56" s="9">
        <f>IF(N(O56)=0,"",IF(P56=0,IF(O56&gt;=K_SIN_VENTA*CPA_BE,"Sin ventas: revisar","Juntando datos"),IF(Q56&lt;=CPA_BE,"Rentable","No rentable")))</f>
        <v/>
      </c>
      <c r="U56" s="10">
        <f>IF($A56="","",N(L56)+N(S56))</f>
        <v/>
      </c>
    </row>
    <row r="57">
      <c r="A57" s="23" t="n"/>
      <c r="B57" s="23" t="n"/>
      <c r="C57" s="23" t="n"/>
      <c r="D57" s="18">
        <f>IF(COUNTIFS(Registro!$C$2:$C$1501,$A57)=0,"",_xlfn.MINIFS(Registro!$A$2:$A$1501,Registro!$C$2:$C$1501,$A57))</f>
        <v/>
      </c>
      <c r="E57" s="12">
        <f>IF($A57="","",COUNTIFS(Registro!$C$2:$C$1501,$A57,Registro!$E$2:$E$1501,"&gt;0"))</f>
        <v/>
      </c>
      <c r="F57" s="10">
        <f>IF($A57="","",SUMIFS(Registro!$E$2:$E$1501,Registro!$C$2:$C$1501,$A57,Registro!$B$2:$B$1501,"Test ABO"))</f>
        <v/>
      </c>
      <c r="G57" s="24">
        <f>IF($A57="","",F57/CPA_BE)</f>
        <v/>
      </c>
      <c r="H57" s="12">
        <f>IF($A57="","",SUMIFS(Registro!$H$2:$H$1501,Registro!$C$2:$C$1501,$A57,Registro!$B$2:$B$1501,"Test ABO"))</f>
        <v/>
      </c>
      <c r="I57" s="10">
        <f>IF(N(H57)&gt;0,F57/H57,"")</f>
        <v/>
      </c>
      <c r="J57" s="25">
        <f>IF(N(H57)&gt;0,I57/CPA_BE-1,"")</f>
        <v/>
      </c>
      <c r="K57" s="11">
        <f>IF(N(F57)&gt;0,SUMIFS(Registro!$I$2:$I$1501,Registro!$C$2:$C$1501,$A57,Registro!$B$2:$B$1501,"Test ABO")/F57,"")</f>
        <v/>
      </c>
      <c r="L57" s="10">
        <f>IF(N(F57)&gt;0,SUMIFS(Registro!$I$2:$I$1501,Registro!$C$2:$C$1501,$A57,Registro!$B$2:$B$1501,"Test ABO")*(1-COM-COM_SHOP)-F57*(1+IMP_META),"")</f>
        <v/>
      </c>
      <c r="M57" s="13">
        <f>IF(SUMIFS(Registro!$F$2:$F$1501,Registro!$C$2:$C$1501,$A57,Registro!$B$2:$B$1501,"Test ABO")&gt;0,SUMIFS(Registro!$G$2:$G$1501,Registro!$C$2:$C$1501,$A57,Registro!$B$2:$B$1501,"Test ABO")/SUMIFS(Registro!$F$2:$F$1501,Registro!$C$2:$C$1501,$A57,Registro!$B$2:$B$1501,"Test ABO"),"")</f>
        <v/>
      </c>
      <c r="N57" s="9">
        <f>IF($A57="","",IF(N(F57)=0,"Sin datos",IF(AND(H57&gt;=MIN_VENTAS,N(I57)&lt;=CPA_BE),"GANADOR → pasar a CBO",IF(AND(H57=0,F57&gt;=K_SIN_VENTA*CPA_BE),"APAGAR (sin ventas)",IF(AND(H57&gt;0,F57&gt;=K_CARO*CPA_BE,N(I57)&gt;CPA_BE*(1+TOL)),"APAGAR (CPA alto)",IF(AND(H57&gt;0,N(I57)&lt;=CPA_BE*(1+TOL)),"Prometedor / cerca del BE","Juntando datos"))))))</f>
        <v/>
      </c>
      <c r="O57" s="10">
        <f>IF($A57="","",SUMIFS(Registro!$E$2:$E$1501,Registro!$C$2:$C$1501,$A57,Registro!$B$2:$B$1501,"Escala CBO"))</f>
        <v/>
      </c>
      <c r="P57" s="12">
        <f>IF($A57="","",SUMIFS(Registro!$H$2:$H$1501,Registro!$C$2:$C$1501,$A57,Registro!$B$2:$B$1501,"Escala CBO"))</f>
        <v/>
      </c>
      <c r="Q57" s="10">
        <f>IF(N(P57)&gt;0,O57/P57,"")</f>
        <v/>
      </c>
      <c r="R57" s="11">
        <f>IF(N(O57)&gt;0,SUMIFS(Registro!$I$2:$I$1501,Registro!$C$2:$C$1501,$A57,Registro!$B$2:$B$1501,"Escala CBO")/O57,"")</f>
        <v/>
      </c>
      <c r="S57" s="10">
        <f>IF(N(O57)&gt;0,SUMIFS(Registro!$I$2:$I$1501,Registro!$C$2:$C$1501,$A57,Registro!$B$2:$B$1501,"Escala CBO")*(1-COM-COM_SHOP)-O57*(1+IMP_META),"")</f>
        <v/>
      </c>
      <c r="T57" s="9">
        <f>IF(N(O57)=0,"",IF(P57=0,IF(O57&gt;=K_SIN_VENTA*CPA_BE,"Sin ventas: revisar","Juntando datos"),IF(Q57&lt;=CPA_BE,"Rentable","No rentable")))</f>
        <v/>
      </c>
      <c r="U57" s="10">
        <f>IF($A57="","",N(L57)+N(S57))</f>
        <v/>
      </c>
    </row>
    <row r="58">
      <c r="A58" s="23" t="n"/>
      <c r="B58" s="23" t="n"/>
      <c r="C58" s="23" t="n"/>
      <c r="D58" s="18">
        <f>IF(COUNTIFS(Registro!$C$2:$C$1501,$A58)=0,"",_xlfn.MINIFS(Registro!$A$2:$A$1501,Registro!$C$2:$C$1501,$A58))</f>
        <v/>
      </c>
      <c r="E58" s="12">
        <f>IF($A58="","",COUNTIFS(Registro!$C$2:$C$1501,$A58,Registro!$E$2:$E$1501,"&gt;0"))</f>
        <v/>
      </c>
      <c r="F58" s="10">
        <f>IF($A58="","",SUMIFS(Registro!$E$2:$E$1501,Registro!$C$2:$C$1501,$A58,Registro!$B$2:$B$1501,"Test ABO"))</f>
        <v/>
      </c>
      <c r="G58" s="24">
        <f>IF($A58="","",F58/CPA_BE)</f>
        <v/>
      </c>
      <c r="H58" s="12">
        <f>IF($A58="","",SUMIFS(Registro!$H$2:$H$1501,Registro!$C$2:$C$1501,$A58,Registro!$B$2:$B$1501,"Test ABO"))</f>
        <v/>
      </c>
      <c r="I58" s="10">
        <f>IF(N(H58)&gt;0,F58/H58,"")</f>
        <v/>
      </c>
      <c r="J58" s="25">
        <f>IF(N(H58)&gt;0,I58/CPA_BE-1,"")</f>
        <v/>
      </c>
      <c r="K58" s="11">
        <f>IF(N(F58)&gt;0,SUMIFS(Registro!$I$2:$I$1501,Registro!$C$2:$C$1501,$A58,Registro!$B$2:$B$1501,"Test ABO")/F58,"")</f>
        <v/>
      </c>
      <c r="L58" s="10">
        <f>IF(N(F58)&gt;0,SUMIFS(Registro!$I$2:$I$1501,Registro!$C$2:$C$1501,$A58,Registro!$B$2:$B$1501,"Test ABO")*(1-COM-COM_SHOP)-F58*(1+IMP_META),"")</f>
        <v/>
      </c>
      <c r="M58" s="13">
        <f>IF(SUMIFS(Registro!$F$2:$F$1501,Registro!$C$2:$C$1501,$A58,Registro!$B$2:$B$1501,"Test ABO")&gt;0,SUMIFS(Registro!$G$2:$G$1501,Registro!$C$2:$C$1501,$A58,Registro!$B$2:$B$1501,"Test ABO")/SUMIFS(Registro!$F$2:$F$1501,Registro!$C$2:$C$1501,$A58,Registro!$B$2:$B$1501,"Test ABO"),"")</f>
        <v/>
      </c>
      <c r="N58" s="9">
        <f>IF($A58="","",IF(N(F58)=0,"Sin datos",IF(AND(H58&gt;=MIN_VENTAS,N(I58)&lt;=CPA_BE),"GANADOR → pasar a CBO",IF(AND(H58=0,F58&gt;=K_SIN_VENTA*CPA_BE),"APAGAR (sin ventas)",IF(AND(H58&gt;0,F58&gt;=K_CARO*CPA_BE,N(I58)&gt;CPA_BE*(1+TOL)),"APAGAR (CPA alto)",IF(AND(H58&gt;0,N(I58)&lt;=CPA_BE*(1+TOL)),"Prometedor / cerca del BE","Juntando datos"))))))</f>
        <v/>
      </c>
      <c r="O58" s="10">
        <f>IF($A58="","",SUMIFS(Registro!$E$2:$E$1501,Registro!$C$2:$C$1501,$A58,Registro!$B$2:$B$1501,"Escala CBO"))</f>
        <v/>
      </c>
      <c r="P58" s="12">
        <f>IF($A58="","",SUMIFS(Registro!$H$2:$H$1501,Registro!$C$2:$C$1501,$A58,Registro!$B$2:$B$1501,"Escala CBO"))</f>
        <v/>
      </c>
      <c r="Q58" s="10">
        <f>IF(N(P58)&gt;0,O58/P58,"")</f>
        <v/>
      </c>
      <c r="R58" s="11">
        <f>IF(N(O58)&gt;0,SUMIFS(Registro!$I$2:$I$1501,Registro!$C$2:$C$1501,$A58,Registro!$B$2:$B$1501,"Escala CBO")/O58,"")</f>
        <v/>
      </c>
      <c r="S58" s="10">
        <f>IF(N(O58)&gt;0,SUMIFS(Registro!$I$2:$I$1501,Registro!$C$2:$C$1501,$A58,Registro!$B$2:$B$1501,"Escala CBO")*(1-COM-COM_SHOP)-O58*(1+IMP_META),"")</f>
        <v/>
      </c>
      <c r="T58" s="9">
        <f>IF(N(O58)=0,"",IF(P58=0,IF(O58&gt;=K_SIN_VENTA*CPA_BE,"Sin ventas: revisar","Juntando datos"),IF(Q58&lt;=CPA_BE,"Rentable","No rentable")))</f>
        <v/>
      </c>
      <c r="U58" s="10">
        <f>IF($A58="","",N(L58)+N(S58))</f>
        <v/>
      </c>
    </row>
    <row r="59">
      <c r="A59" s="23" t="n"/>
      <c r="B59" s="23" t="n"/>
      <c r="C59" s="23" t="n"/>
      <c r="D59" s="18">
        <f>IF(COUNTIFS(Registro!$C$2:$C$1501,$A59)=0,"",_xlfn.MINIFS(Registro!$A$2:$A$1501,Registro!$C$2:$C$1501,$A59))</f>
        <v/>
      </c>
      <c r="E59" s="12">
        <f>IF($A59="","",COUNTIFS(Registro!$C$2:$C$1501,$A59,Registro!$E$2:$E$1501,"&gt;0"))</f>
        <v/>
      </c>
      <c r="F59" s="10">
        <f>IF($A59="","",SUMIFS(Registro!$E$2:$E$1501,Registro!$C$2:$C$1501,$A59,Registro!$B$2:$B$1501,"Test ABO"))</f>
        <v/>
      </c>
      <c r="G59" s="24">
        <f>IF($A59="","",F59/CPA_BE)</f>
        <v/>
      </c>
      <c r="H59" s="12">
        <f>IF($A59="","",SUMIFS(Registro!$H$2:$H$1501,Registro!$C$2:$C$1501,$A59,Registro!$B$2:$B$1501,"Test ABO"))</f>
        <v/>
      </c>
      <c r="I59" s="10">
        <f>IF(N(H59)&gt;0,F59/H59,"")</f>
        <v/>
      </c>
      <c r="J59" s="25">
        <f>IF(N(H59)&gt;0,I59/CPA_BE-1,"")</f>
        <v/>
      </c>
      <c r="K59" s="11">
        <f>IF(N(F59)&gt;0,SUMIFS(Registro!$I$2:$I$1501,Registro!$C$2:$C$1501,$A59,Registro!$B$2:$B$1501,"Test ABO")/F59,"")</f>
        <v/>
      </c>
      <c r="L59" s="10">
        <f>IF(N(F59)&gt;0,SUMIFS(Registro!$I$2:$I$1501,Registro!$C$2:$C$1501,$A59,Registro!$B$2:$B$1501,"Test ABO")*(1-COM-COM_SHOP)-F59*(1+IMP_META),"")</f>
        <v/>
      </c>
      <c r="M59" s="13">
        <f>IF(SUMIFS(Registro!$F$2:$F$1501,Registro!$C$2:$C$1501,$A59,Registro!$B$2:$B$1501,"Test ABO")&gt;0,SUMIFS(Registro!$G$2:$G$1501,Registro!$C$2:$C$1501,$A59,Registro!$B$2:$B$1501,"Test ABO")/SUMIFS(Registro!$F$2:$F$1501,Registro!$C$2:$C$1501,$A59,Registro!$B$2:$B$1501,"Test ABO"),"")</f>
        <v/>
      </c>
      <c r="N59" s="9">
        <f>IF($A59="","",IF(N(F59)=0,"Sin datos",IF(AND(H59&gt;=MIN_VENTAS,N(I59)&lt;=CPA_BE),"GANADOR → pasar a CBO",IF(AND(H59=0,F59&gt;=K_SIN_VENTA*CPA_BE),"APAGAR (sin ventas)",IF(AND(H59&gt;0,F59&gt;=K_CARO*CPA_BE,N(I59)&gt;CPA_BE*(1+TOL)),"APAGAR (CPA alto)",IF(AND(H59&gt;0,N(I59)&lt;=CPA_BE*(1+TOL)),"Prometedor / cerca del BE","Juntando datos"))))))</f>
        <v/>
      </c>
      <c r="O59" s="10">
        <f>IF($A59="","",SUMIFS(Registro!$E$2:$E$1501,Registro!$C$2:$C$1501,$A59,Registro!$B$2:$B$1501,"Escala CBO"))</f>
        <v/>
      </c>
      <c r="P59" s="12">
        <f>IF($A59="","",SUMIFS(Registro!$H$2:$H$1501,Registro!$C$2:$C$1501,$A59,Registro!$B$2:$B$1501,"Escala CBO"))</f>
        <v/>
      </c>
      <c r="Q59" s="10">
        <f>IF(N(P59)&gt;0,O59/P59,"")</f>
        <v/>
      </c>
      <c r="R59" s="11">
        <f>IF(N(O59)&gt;0,SUMIFS(Registro!$I$2:$I$1501,Registro!$C$2:$C$1501,$A59,Registro!$B$2:$B$1501,"Escala CBO")/O59,"")</f>
        <v/>
      </c>
      <c r="S59" s="10">
        <f>IF(N(O59)&gt;0,SUMIFS(Registro!$I$2:$I$1501,Registro!$C$2:$C$1501,$A59,Registro!$B$2:$B$1501,"Escala CBO")*(1-COM-COM_SHOP)-O59*(1+IMP_META),"")</f>
        <v/>
      </c>
      <c r="T59" s="9">
        <f>IF(N(O59)=0,"",IF(P59=0,IF(O59&gt;=K_SIN_VENTA*CPA_BE,"Sin ventas: revisar","Juntando datos"),IF(Q59&lt;=CPA_BE,"Rentable","No rentable")))</f>
        <v/>
      </c>
      <c r="U59" s="10">
        <f>IF($A59="","",N(L59)+N(S59))</f>
        <v/>
      </c>
    </row>
    <row r="60">
      <c r="A60" s="23" t="n"/>
      <c r="B60" s="23" t="n"/>
      <c r="C60" s="23" t="n"/>
      <c r="D60" s="18">
        <f>IF(COUNTIFS(Registro!$C$2:$C$1501,$A60)=0,"",_xlfn.MINIFS(Registro!$A$2:$A$1501,Registro!$C$2:$C$1501,$A60))</f>
        <v/>
      </c>
      <c r="E60" s="12">
        <f>IF($A60="","",COUNTIFS(Registro!$C$2:$C$1501,$A60,Registro!$E$2:$E$1501,"&gt;0"))</f>
        <v/>
      </c>
      <c r="F60" s="10">
        <f>IF($A60="","",SUMIFS(Registro!$E$2:$E$1501,Registro!$C$2:$C$1501,$A60,Registro!$B$2:$B$1501,"Test ABO"))</f>
        <v/>
      </c>
      <c r="G60" s="24">
        <f>IF($A60="","",F60/CPA_BE)</f>
        <v/>
      </c>
      <c r="H60" s="12">
        <f>IF($A60="","",SUMIFS(Registro!$H$2:$H$1501,Registro!$C$2:$C$1501,$A60,Registro!$B$2:$B$1501,"Test ABO"))</f>
        <v/>
      </c>
      <c r="I60" s="10">
        <f>IF(N(H60)&gt;0,F60/H60,"")</f>
        <v/>
      </c>
      <c r="J60" s="25">
        <f>IF(N(H60)&gt;0,I60/CPA_BE-1,"")</f>
        <v/>
      </c>
      <c r="K60" s="11">
        <f>IF(N(F60)&gt;0,SUMIFS(Registro!$I$2:$I$1501,Registro!$C$2:$C$1501,$A60,Registro!$B$2:$B$1501,"Test ABO")/F60,"")</f>
        <v/>
      </c>
      <c r="L60" s="10">
        <f>IF(N(F60)&gt;0,SUMIFS(Registro!$I$2:$I$1501,Registro!$C$2:$C$1501,$A60,Registro!$B$2:$B$1501,"Test ABO")*(1-COM-COM_SHOP)-F60*(1+IMP_META),"")</f>
        <v/>
      </c>
      <c r="M60" s="13">
        <f>IF(SUMIFS(Registro!$F$2:$F$1501,Registro!$C$2:$C$1501,$A60,Registro!$B$2:$B$1501,"Test ABO")&gt;0,SUMIFS(Registro!$G$2:$G$1501,Registro!$C$2:$C$1501,$A60,Registro!$B$2:$B$1501,"Test ABO")/SUMIFS(Registro!$F$2:$F$1501,Registro!$C$2:$C$1501,$A60,Registro!$B$2:$B$1501,"Test ABO"),"")</f>
        <v/>
      </c>
      <c r="N60" s="9">
        <f>IF($A60="","",IF(N(F60)=0,"Sin datos",IF(AND(H60&gt;=MIN_VENTAS,N(I60)&lt;=CPA_BE),"GANADOR → pasar a CBO",IF(AND(H60=0,F60&gt;=K_SIN_VENTA*CPA_BE),"APAGAR (sin ventas)",IF(AND(H60&gt;0,F60&gt;=K_CARO*CPA_BE,N(I60)&gt;CPA_BE*(1+TOL)),"APAGAR (CPA alto)",IF(AND(H60&gt;0,N(I60)&lt;=CPA_BE*(1+TOL)),"Prometedor / cerca del BE","Juntando datos"))))))</f>
        <v/>
      </c>
      <c r="O60" s="10">
        <f>IF($A60="","",SUMIFS(Registro!$E$2:$E$1501,Registro!$C$2:$C$1501,$A60,Registro!$B$2:$B$1501,"Escala CBO"))</f>
        <v/>
      </c>
      <c r="P60" s="12">
        <f>IF($A60="","",SUMIFS(Registro!$H$2:$H$1501,Registro!$C$2:$C$1501,$A60,Registro!$B$2:$B$1501,"Escala CBO"))</f>
        <v/>
      </c>
      <c r="Q60" s="10">
        <f>IF(N(P60)&gt;0,O60/P60,"")</f>
        <v/>
      </c>
      <c r="R60" s="11">
        <f>IF(N(O60)&gt;0,SUMIFS(Registro!$I$2:$I$1501,Registro!$C$2:$C$1501,$A60,Registro!$B$2:$B$1501,"Escala CBO")/O60,"")</f>
        <v/>
      </c>
      <c r="S60" s="10">
        <f>IF(N(O60)&gt;0,SUMIFS(Registro!$I$2:$I$1501,Registro!$C$2:$C$1501,$A60,Registro!$B$2:$B$1501,"Escala CBO")*(1-COM-COM_SHOP)-O60*(1+IMP_META),"")</f>
        <v/>
      </c>
      <c r="T60" s="9">
        <f>IF(N(O60)=0,"",IF(P60=0,IF(O60&gt;=K_SIN_VENTA*CPA_BE,"Sin ventas: revisar","Juntando datos"),IF(Q60&lt;=CPA_BE,"Rentable","No rentable")))</f>
        <v/>
      </c>
      <c r="U60" s="10">
        <f>IF($A60="","",N(L60)+N(S60))</f>
        <v/>
      </c>
    </row>
    <row r="61">
      <c r="A61" s="23" t="n"/>
      <c r="B61" s="23" t="n"/>
      <c r="C61" s="23" t="n"/>
      <c r="D61" s="18">
        <f>IF(COUNTIFS(Registro!$C$2:$C$1501,$A61)=0,"",_xlfn.MINIFS(Registro!$A$2:$A$1501,Registro!$C$2:$C$1501,$A61))</f>
        <v/>
      </c>
      <c r="E61" s="12">
        <f>IF($A61="","",COUNTIFS(Registro!$C$2:$C$1501,$A61,Registro!$E$2:$E$1501,"&gt;0"))</f>
        <v/>
      </c>
      <c r="F61" s="10">
        <f>IF($A61="","",SUMIFS(Registro!$E$2:$E$1501,Registro!$C$2:$C$1501,$A61,Registro!$B$2:$B$1501,"Test ABO"))</f>
        <v/>
      </c>
      <c r="G61" s="24">
        <f>IF($A61="","",F61/CPA_BE)</f>
        <v/>
      </c>
      <c r="H61" s="12">
        <f>IF($A61="","",SUMIFS(Registro!$H$2:$H$1501,Registro!$C$2:$C$1501,$A61,Registro!$B$2:$B$1501,"Test ABO"))</f>
        <v/>
      </c>
      <c r="I61" s="10">
        <f>IF(N(H61)&gt;0,F61/H61,"")</f>
        <v/>
      </c>
      <c r="J61" s="25">
        <f>IF(N(H61)&gt;0,I61/CPA_BE-1,"")</f>
        <v/>
      </c>
      <c r="K61" s="11">
        <f>IF(N(F61)&gt;0,SUMIFS(Registro!$I$2:$I$1501,Registro!$C$2:$C$1501,$A61,Registro!$B$2:$B$1501,"Test ABO")/F61,"")</f>
        <v/>
      </c>
      <c r="L61" s="10">
        <f>IF(N(F61)&gt;0,SUMIFS(Registro!$I$2:$I$1501,Registro!$C$2:$C$1501,$A61,Registro!$B$2:$B$1501,"Test ABO")*(1-COM-COM_SHOP)-F61*(1+IMP_META),"")</f>
        <v/>
      </c>
      <c r="M61" s="13">
        <f>IF(SUMIFS(Registro!$F$2:$F$1501,Registro!$C$2:$C$1501,$A61,Registro!$B$2:$B$1501,"Test ABO")&gt;0,SUMIFS(Registro!$G$2:$G$1501,Registro!$C$2:$C$1501,$A61,Registro!$B$2:$B$1501,"Test ABO")/SUMIFS(Registro!$F$2:$F$1501,Registro!$C$2:$C$1501,$A61,Registro!$B$2:$B$1501,"Test ABO"),"")</f>
        <v/>
      </c>
      <c r="N61" s="9">
        <f>IF($A61="","",IF(N(F61)=0,"Sin datos",IF(AND(H61&gt;=MIN_VENTAS,N(I61)&lt;=CPA_BE),"GANADOR → pasar a CBO",IF(AND(H61=0,F61&gt;=K_SIN_VENTA*CPA_BE),"APAGAR (sin ventas)",IF(AND(H61&gt;0,F61&gt;=K_CARO*CPA_BE,N(I61)&gt;CPA_BE*(1+TOL)),"APAGAR (CPA alto)",IF(AND(H61&gt;0,N(I61)&lt;=CPA_BE*(1+TOL)),"Prometedor / cerca del BE","Juntando datos"))))))</f>
        <v/>
      </c>
      <c r="O61" s="10">
        <f>IF($A61="","",SUMIFS(Registro!$E$2:$E$1501,Registro!$C$2:$C$1501,$A61,Registro!$B$2:$B$1501,"Escala CBO"))</f>
        <v/>
      </c>
      <c r="P61" s="12">
        <f>IF($A61="","",SUMIFS(Registro!$H$2:$H$1501,Registro!$C$2:$C$1501,$A61,Registro!$B$2:$B$1501,"Escala CBO"))</f>
        <v/>
      </c>
      <c r="Q61" s="10">
        <f>IF(N(P61)&gt;0,O61/P61,"")</f>
        <v/>
      </c>
      <c r="R61" s="11">
        <f>IF(N(O61)&gt;0,SUMIFS(Registro!$I$2:$I$1501,Registro!$C$2:$C$1501,$A61,Registro!$B$2:$B$1501,"Escala CBO")/O61,"")</f>
        <v/>
      </c>
      <c r="S61" s="10">
        <f>IF(N(O61)&gt;0,SUMIFS(Registro!$I$2:$I$1501,Registro!$C$2:$C$1501,$A61,Registro!$B$2:$B$1501,"Escala CBO")*(1-COM-COM_SHOP)-O61*(1+IMP_META),"")</f>
        <v/>
      </c>
      <c r="T61" s="9">
        <f>IF(N(O61)=0,"",IF(P61=0,IF(O61&gt;=K_SIN_VENTA*CPA_BE,"Sin ventas: revisar","Juntando datos"),IF(Q61&lt;=CPA_BE,"Rentable","No rentable")))</f>
        <v/>
      </c>
      <c r="U61" s="10">
        <f>IF($A61="","",N(L61)+N(S61))</f>
        <v/>
      </c>
    </row>
    <row r="62">
      <c r="A62" s="23" t="n"/>
      <c r="B62" s="23" t="n"/>
      <c r="C62" s="23" t="n"/>
      <c r="D62" s="18">
        <f>IF(COUNTIFS(Registro!$C$2:$C$1501,$A62)=0,"",_xlfn.MINIFS(Registro!$A$2:$A$1501,Registro!$C$2:$C$1501,$A62))</f>
        <v/>
      </c>
      <c r="E62" s="12">
        <f>IF($A62="","",COUNTIFS(Registro!$C$2:$C$1501,$A62,Registro!$E$2:$E$1501,"&gt;0"))</f>
        <v/>
      </c>
      <c r="F62" s="10">
        <f>IF($A62="","",SUMIFS(Registro!$E$2:$E$1501,Registro!$C$2:$C$1501,$A62,Registro!$B$2:$B$1501,"Test ABO"))</f>
        <v/>
      </c>
      <c r="G62" s="24">
        <f>IF($A62="","",F62/CPA_BE)</f>
        <v/>
      </c>
      <c r="H62" s="12">
        <f>IF($A62="","",SUMIFS(Registro!$H$2:$H$1501,Registro!$C$2:$C$1501,$A62,Registro!$B$2:$B$1501,"Test ABO"))</f>
        <v/>
      </c>
      <c r="I62" s="10">
        <f>IF(N(H62)&gt;0,F62/H62,"")</f>
        <v/>
      </c>
      <c r="J62" s="25">
        <f>IF(N(H62)&gt;0,I62/CPA_BE-1,"")</f>
        <v/>
      </c>
      <c r="K62" s="11">
        <f>IF(N(F62)&gt;0,SUMIFS(Registro!$I$2:$I$1501,Registro!$C$2:$C$1501,$A62,Registro!$B$2:$B$1501,"Test ABO")/F62,"")</f>
        <v/>
      </c>
      <c r="L62" s="10">
        <f>IF(N(F62)&gt;0,SUMIFS(Registro!$I$2:$I$1501,Registro!$C$2:$C$1501,$A62,Registro!$B$2:$B$1501,"Test ABO")*(1-COM-COM_SHOP)-F62*(1+IMP_META),"")</f>
        <v/>
      </c>
      <c r="M62" s="13">
        <f>IF(SUMIFS(Registro!$F$2:$F$1501,Registro!$C$2:$C$1501,$A62,Registro!$B$2:$B$1501,"Test ABO")&gt;0,SUMIFS(Registro!$G$2:$G$1501,Registro!$C$2:$C$1501,$A62,Registro!$B$2:$B$1501,"Test ABO")/SUMIFS(Registro!$F$2:$F$1501,Registro!$C$2:$C$1501,$A62,Registro!$B$2:$B$1501,"Test ABO"),"")</f>
        <v/>
      </c>
      <c r="N62" s="9">
        <f>IF($A62="","",IF(N(F62)=0,"Sin datos",IF(AND(H62&gt;=MIN_VENTAS,N(I62)&lt;=CPA_BE),"GANADOR → pasar a CBO",IF(AND(H62=0,F62&gt;=K_SIN_VENTA*CPA_BE),"APAGAR (sin ventas)",IF(AND(H62&gt;0,F62&gt;=K_CARO*CPA_BE,N(I62)&gt;CPA_BE*(1+TOL)),"APAGAR (CPA alto)",IF(AND(H62&gt;0,N(I62)&lt;=CPA_BE*(1+TOL)),"Prometedor / cerca del BE","Juntando datos"))))))</f>
        <v/>
      </c>
      <c r="O62" s="10">
        <f>IF($A62="","",SUMIFS(Registro!$E$2:$E$1501,Registro!$C$2:$C$1501,$A62,Registro!$B$2:$B$1501,"Escala CBO"))</f>
        <v/>
      </c>
      <c r="P62" s="12">
        <f>IF($A62="","",SUMIFS(Registro!$H$2:$H$1501,Registro!$C$2:$C$1501,$A62,Registro!$B$2:$B$1501,"Escala CBO"))</f>
        <v/>
      </c>
      <c r="Q62" s="10">
        <f>IF(N(P62)&gt;0,O62/P62,"")</f>
        <v/>
      </c>
      <c r="R62" s="11">
        <f>IF(N(O62)&gt;0,SUMIFS(Registro!$I$2:$I$1501,Registro!$C$2:$C$1501,$A62,Registro!$B$2:$B$1501,"Escala CBO")/O62,"")</f>
        <v/>
      </c>
      <c r="S62" s="10">
        <f>IF(N(O62)&gt;0,SUMIFS(Registro!$I$2:$I$1501,Registro!$C$2:$C$1501,$A62,Registro!$B$2:$B$1501,"Escala CBO")*(1-COM-COM_SHOP)-O62*(1+IMP_META),"")</f>
        <v/>
      </c>
      <c r="T62" s="9">
        <f>IF(N(O62)=0,"",IF(P62=0,IF(O62&gt;=K_SIN_VENTA*CPA_BE,"Sin ventas: revisar","Juntando datos"),IF(Q62&lt;=CPA_BE,"Rentable","No rentable")))</f>
        <v/>
      </c>
      <c r="U62" s="10">
        <f>IF($A62="","",N(L62)+N(S62))</f>
        <v/>
      </c>
    </row>
    <row r="63">
      <c r="A63" s="23" t="n"/>
      <c r="B63" s="23" t="n"/>
      <c r="C63" s="23" t="n"/>
      <c r="D63" s="18">
        <f>IF(COUNTIFS(Registro!$C$2:$C$1501,$A63)=0,"",_xlfn.MINIFS(Registro!$A$2:$A$1501,Registro!$C$2:$C$1501,$A63))</f>
        <v/>
      </c>
      <c r="E63" s="12">
        <f>IF($A63="","",COUNTIFS(Registro!$C$2:$C$1501,$A63,Registro!$E$2:$E$1501,"&gt;0"))</f>
        <v/>
      </c>
      <c r="F63" s="10">
        <f>IF($A63="","",SUMIFS(Registro!$E$2:$E$1501,Registro!$C$2:$C$1501,$A63,Registro!$B$2:$B$1501,"Test ABO"))</f>
        <v/>
      </c>
      <c r="G63" s="24">
        <f>IF($A63="","",F63/CPA_BE)</f>
        <v/>
      </c>
      <c r="H63" s="12">
        <f>IF($A63="","",SUMIFS(Registro!$H$2:$H$1501,Registro!$C$2:$C$1501,$A63,Registro!$B$2:$B$1501,"Test ABO"))</f>
        <v/>
      </c>
      <c r="I63" s="10">
        <f>IF(N(H63)&gt;0,F63/H63,"")</f>
        <v/>
      </c>
      <c r="J63" s="25">
        <f>IF(N(H63)&gt;0,I63/CPA_BE-1,"")</f>
        <v/>
      </c>
      <c r="K63" s="11">
        <f>IF(N(F63)&gt;0,SUMIFS(Registro!$I$2:$I$1501,Registro!$C$2:$C$1501,$A63,Registro!$B$2:$B$1501,"Test ABO")/F63,"")</f>
        <v/>
      </c>
      <c r="L63" s="10">
        <f>IF(N(F63)&gt;0,SUMIFS(Registro!$I$2:$I$1501,Registro!$C$2:$C$1501,$A63,Registro!$B$2:$B$1501,"Test ABO")*(1-COM-COM_SHOP)-F63*(1+IMP_META),"")</f>
        <v/>
      </c>
      <c r="M63" s="13">
        <f>IF(SUMIFS(Registro!$F$2:$F$1501,Registro!$C$2:$C$1501,$A63,Registro!$B$2:$B$1501,"Test ABO")&gt;0,SUMIFS(Registro!$G$2:$G$1501,Registro!$C$2:$C$1501,$A63,Registro!$B$2:$B$1501,"Test ABO")/SUMIFS(Registro!$F$2:$F$1501,Registro!$C$2:$C$1501,$A63,Registro!$B$2:$B$1501,"Test ABO"),"")</f>
        <v/>
      </c>
      <c r="N63" s="9">
        <f>IF($A63="","",IF(N(F63)=0,"Sin datos",IF(AND(H63&gt;=MIN_VENTAS,N(I63)&lt;=CPA_BE),"GANADOR → pasar a CBO",IF(AND(H63=0,F63&gt;=K_SIN_VENTA*CPA_BE),"APAGAR (sin ventas)",IF(AND(H63&gt;0,F63&gt;=K_CARO*CPA_BE,N(I63)&gt;CPA_BE*(1+TOL)),"APAGAR (CPA alto)",IF(AND(H63&gt;0,N(I63)&lt;=CPA_BE*(1+TOL)),"Prometedor / cerca del BE","Juntando datos"))))))</f>
        <v/>
      </c>
      <c r="O63" s="10">
        <f>IF($A63="","",SUMIFS(Registro!$E$2:$E$1501,Registro!$C$2:$C$1501,$A63,Registro!$B$2:$B$1501,"Escala CBO"))</f>
        <v/>
      </c>
      <c r="P63" s="12">
        <f>IF($A63="","",SUMIFS(Registro!$H$2:$H$1501,Registro!$C$2:$C$1501,$A63,Registro!$B$2:$B$1501,"Escala CBO"))</f>
        <v/>
      </c>
      <c r="Q63" s="10">
        <f>IF(N(P63)&gt;0,O63/P63,"")</f>
        <v/>
      </c>
      <c r="R63" s="11">
        <f>IF(N(O63)&gt;0,SUMIFS(Registro!$I$2:$I$1501,Registro!$C$2:$C$1501,$A63,Registro!$B$2:$B$1501,"Escala CBO")/O63,"")</f>
        <v/>
      </c>
      <c r="S63" s="10">
        <f>IF(N(O63)&gt;0,SUMIFS(Registro!$I$2:$I$1501,Registro!$C$2:$C$1501,$A63,Registro!$B$2:$B$1501,"Escala CBO")*(1-COM-COM_SHOP)-O63*(1+IMP_META),"")</f>
        <v/>
      </c>
      <c r="T63" s="9">
        <f>IF(N(O63)=0,"",IF(P63=0,IF(O63&gt;=K_SIN_VENTA*CPA_BE,"Sin ventas: revisar","Juntando datos"),IF(Q63&lt;=CPA_BE,"Rentable","No rentable")))</f>
        <v/>
      </c>
      <c r="U63" s="10">
        <f>IF($A63="","",N(L63)+N(S63))</f>
        <v/>
      </c>
    </row>
    <row r="64">
      <c r="A64" s="23" t="n"/>
      <c r="B64" s="23" t="n"/>
      <c r="C64" s="23" t="n"/>
      <c r="D64" s="18">
        <f>IF(COUNTIFS(Registro!$C$2:$C$1501,$A64)=0,"",_xlfn.MINIFS(Registro!$A$2:$A$1501,Registro!$C$2:$C$1501,$A64))</f>
        <v/>
      </c>
      <c r="E64" s="12">
        <f>IF($A64="","",COUNTIFS(Registro!$C$2:$C$1501,$A64,Registro!$E$2:$E$1501,"&gt;0"))</f>
        <v/>
      </c>
      <c r="F64" s="10">
        <f>IF($A64="","",SUMIFS(Registro!$E$2:$E$1501,Registro!$C$2:$C$1501,$A64,Registro!$B$2:$B$1501,"Test ABO"))</f>
        <v/>
      </c>
      <c r="G64" s="24">
        <f>IF($A64="","",F64/CPA_BE)</f>
        <v/>
      </c>
      <c r="H64" s="12">
        <f>IF($A64="","",SUMIFS(Registro!$H$2:$H$1501,Registro!$C$2:$C$1501,$A64,Registro!$B$2:$B$1501,"Test ABO"))</f>
        <v/>
      </c>
      <c r="I64" s="10">
        <f>IF(N(H64)&gt;0,F64/H64,"")</f>
        <v/>
      </c>
      <c r="J64" s="25">
        <f>IF(N(H64)&gt;0,I64/CPA_BE-1,"")</f>
        <v/>
      </c>
      <c r="K64" s="11">
        <f>IF(N(F64)&gt;0,SUMIFS(Registro!$I$2:$I$1501,Registro!$C$2:$C$1501,$A64,Registro!$B$2:$B$1501,"Test ABO")/F64,"")</f>
        <v/>
      </c>
      <c r="L64" s="10">
        <f>IF(N(F64)&gt;0,SUMIFS(Registro!$I$2:$I$1501,Registro!$C$2:$C$1501,$A64,Registro!$B$2:$B$1501,"Test ABO")*(1-COM-COM_SHOP)-F64*(1+IMP_META),"")</f>
        <v/>
      </c>
      <c r="M64" s="13">
        <f>IF(SUMIFS(Registro!$F$2:$F$1501,Registro!$C$2:$C$1501,$A64,Registro!$B$2:$B$1501,"Test ABO")&gt;0,SUMIFS(Registro!$G$2:$G$1501,Registro!$C$2:$C$1501,$A64,Registro!$B$2:$B$1501,"Test ABO")/SUMIFS(Registro!$F$2:$F$1501,Registro!$C$2:$C$1501,$A64,Registro!$B$2:$B$1501,"Test ABO"),"")</f>
        <v/>
      </c>
      <c r="N64" s="9">
        <f>IF($A64="","",IF(N(F64)=0,"Sin datos",IF(AND(H64&gt;=MIN_VENTAS,N(I64)&lt;=CPA_BE),"GANADOR → pasar a CBO",IF(AND(H64=0,F64&gt;=K_SIN_VENTA*CPA_BE),"APAGAR (sin ventas)",IF(AND(H64&gt;0,F64&gt;=K_CARO*CPA_BE,N(I64)&gt;CPA_BE*(1+TOL)),"APAGAR (CPA alto)",IF(AND(H64&gt;0,N(I64)&lt;=CPA_BE*(1+TOL)),"Prometedor / cerca del BE","Juntando datos"))))))</f>
        <v/>
      </c>
      <c r="O64" s="10">
        <f>IF($A64="","",SUMIFS(Registro!$E$2:$E$1501,Registro!$C$2:$C$1501,$A64,Registro!$B$2:$B$1501,"Escala CBO"))</f>
        <v/>
      </c>
      <c r="P64" s="12">
        <f>IF($A64="","",SUMIFS(Registro!$H$2:$H$1501,Registro!$C$2:$C$1501,$A64,Registro!$B$2:$B$1501,"Escala CBO"))</f>
        <v/>
      </c>
      <c r="Q64" s="10">
        <f>IF(N(P64)&gt;0,O64/P64,"")</f>
        <v/>
      </c>
      <c r="R64" s="11">
        <f>IF(N(O64)&gt;0,SUMIFS(Registro!$I$2:$I$1501,Registro!$C$2:$C$1501,$A64,Registro!$B$2:$B$1501,"Escala CBO")/O64,"")</f>
        <v/>
      </c>
      <c r="S64" s="10">
        <f>IF(N(O64)&gt;0,SUMIFS(Registro!$I$2:$I$1501,Registro!$C$2:$C$1501,$A64,Registro!$B$2:$B$1501,"Escala CBO")*(1-COM-COM_SHOP)-O64*(1+IMP_META),"")</f>
        <v/>
      </c>
      <c r="T64" s="9">
        <f>IF(N(O64)=0,"",IF(P64=0,IF(O64&gt;=K_SIN_VENTA*CPA_BE,"Sin ventas: revisar","Juntando datos"),IF(Q64&lt;=CPA_BE,"Rentable","No rentable")))</f>
        <v/>
      </c>
      <c r="U64" s="10">
        <f>IF($A64="","",N(L64)+N(S64))</f>
        <v/>
      </c>
    </row>
    <row r="65">
      <c r="A65" s="23" t="n"/>
      <c r="B65" s="23" t="n"/>
      <c r="C65" s="23" t="n"/>
      <c r="D65" s="18">
        <f>IF(COUNTIFS(Registro!$C$2:$C$1501,$A65)=0,"",_xlfn.MINIFS(Registro!$A$2:$A$1501,Registro!$C$2:$C$1501,$A65))</f>
        <v/>
      </c>
      <c r="E65" s="12">
        <f>IF($A65="","",COUNTIFS(Registro!$C$2:$C$1501,$A65,Registro!$E$2:$E$1501,"&gt;0"))</f>
        <v/>
      </c>
      <c r="F65" s="10">
        <f>IF($A65="","",SUMIFS(Registro!$E$2:$E$1501,Registro!$C$2:$C$1501,$A65,Registro!$B$2:$B$1501,"Test ABO"))</f>
        <v/>
      </c>
      <c r="G65" s="24">
        <f>IF($A65="","",F65/CPA_BE)</f>
        <v/>
      </c>
      <c r="H65" s="12">
        <f>IF($A65="","",SUMIFS(Registro!$H$2:$H$1501,Registro!$C$2:$C$1501,$A65,Registro!$B$2:$B$1501,"Test ABO"))</f>
        <v/>
      </c>
      <c r="I65" s="10">
        <f>IF(N(H65)&gt;0,F65/H65,"")</f>
        <v/>
      </c>
      <c r="J65" s="25">
        <f>IF(N(H65)&gt;0,I65/CPA_BE-1,"")</f>
        <v/>
      </c>
      <c r="K65" s="11">
        <f>IF(N(F65)&gt;0,SUMIFS(Registro!$I$2:$I$1501,Registro!$C$2:$C$1501,$A65,Registro!$B$2:$B$1501,"Test ABO")/F65,"")</f>
        <v/>
      </c>
      <c r="L65" s="10">
        <f>IF(N(F65)&gt;0,SUMIFS(Registro!$I$2:$I$1501,Registro!$C$2:$C$1501,$A65,Registro!$B$2:$B$1501,"Test ABO")*(1-COM-COM_SHOP)-F65*(1+IMP_META),"")</f>
        <v/>
      </c>
      <c r="M65" s="13">
        <f>IF(SUMIFS(Registro!$F$2:$F$1501,Registro!$C$2:$C$1501,$A65,Registro!$B$2:$B$1501,"Test ABO")&gt;0,SUMIFS(Registro!$G$2:$G$1501,Registro!$C$2:$C$1501,$A65,Registro!$B$2:$B$1501,"Test ABO")/SUMIFS(Registro!$F$2:$F$1501,Registro!$C$2:$C$1501,$A65,Registro!$B$2:$B$1501,"Test ABO"),"")</f>
        <v/>
      </c>
      <c r="N65" s="9">
        <f>IF($A65="","",IF(N(F65)=0,"Sin datos",IF(AND(H65&gt;=MIN_VENTAS,N(I65)&lt;=CPA_BE),"GANADOR → pasar a CBO",IF(AND(H65=0,F65&gt;=K_SIN_VENTA*CPA_BE),"APAGAR (sin ventas)",IF(AND(H65&gt;0,F65&gt;=K_CARO*CPA_BE,N(I65)&gt;CPA_BE*(1+TOL)),"APAGAR (CPA alto)",IF(AND(H65&gt;0,N(I65)&lt;=CPA_BE*(1+TOL)),"Prometedor / cerca del BE","Juntando datos"))))))</f>
        <v/>
      </c>
      <c r="O65" s="10">
        <f>IF($A65="","",SUMIFS(Registro!$E$2:$E$1501,Registro!$C$2:$C$1501,$A65,Registro!$B$2:$B$1501,"Escala CBO"))</f>
        <v/>
      </c>
      <c r="P65" s="12">
        <f>IF($A65="","",SUMIFS(Registro!$H$2:$H$1501,Registro!$C$2:$C$1501,$A65,Registro!$B$2:$B$1501,"Escala CBO"))</f>
        <v/>
      </c>
      <c r="Q65" s="10">
        <f>IF(N(P65)&gt;0,O65/P65,"")</f>
        <v/>
      </c>
      <c r="R65" s="11">
        <f>IF(N(O65)&gt;0,SUMIFS(Registro!$I$2:$I$1501,Registro!$C$2:$C$1501,$A65,Registro!$B$2:$B$1501,"Escala CBO")/O65,"")</f>
        <v/>
      </c>
      <c r="S65" s="10">
        <f>IF(N(O65)&gt;0,SUMIFS(Registro!$I$2:$I$1501,Registro!$C$2:$C$1501,$A65,Registro!$B$2:$B$1501,"Escala CBO")*(1-COM-COM_SHOP)-O65*(1+IMP_META),"")</f>
        <v/>
      </c>
      <c r="T65" s="9">
        <f>IF(N(O65)=0,"",IF(P65=0,IF(O65&gt;=K_SIN_VENTA*CPA_BE,"Sin ventas: revisar","Juntando datos"),IF(Q65&lt;=CPA_BE,"Rentable","No rentable")))</f>
        <v/>
      </c>
      <c r="U65" s="10">
        <f>IF($A65="","",N(L65)+N(S65))</f>
        <v/>
      </c>
    </row>
  </sheetData>
  <mergeCells count="3">
    <mergeCell ref="O4:T4"/>
    <mergeCell ref="F4:N4"/>
    <mergeCell ref="A4:E4"/>
  </mergeCells>
  <conditionalFormatting sqref="N6:N65">
    <cfRule type="expression" priority="1" dxfId="1">
      <formula>ISNUMBER(SEARCH("GANADOR",N6))</formula>
    </cfRule>
    <cfRule type="expression" priority="2" dxfId="0">
      <formula>ISNUMBER(SEARCH("APAGAR",N6))</formula>
    </cfRule>
    <cfRule type="expression" priority="3" dxfId="2">
      <formula>ISNUMBER(SEARCH("Prometedor",N6))</formula>
    </cfRule>
  </conditionalFormatting>
  <conditionalFormatting sqref="T6:T65">
    <cfRule type="expression" priority="4" dxfId="1">
      <formula>T6="Rentable"</formula>
    </cfRule>
    <cfRule type="expression" priority="5" dxfId="0">
      <formula>OR(T6="No rentable",T6="Sin ventas: revisar")</formula>
    </cfRule>
  </conditionalFormatting>
  <conditionalFormatting sqref="J6:J65">
    <cfRule type="expression" priority="6" dxfId="3">
      <formula>AND(ISNUMBER(J6),J6&lt;=0)</formula>
    </cfRule>
    <cfRule type="expression" priority="7" dxfId="4">
      <formula>AND(ISNUMBER(J6),J6&gt;0)</formula>
    </cfRule>
  </conditionalFormatting>
  <conditionalFormatting sqref="L6:L65">
    <cfRule type="cellIs" priority="8" operator="lessThan" dxfId="4">
      <formula>0</formula>
    </cfRule>
  </conditionalFormatting>
  <conditionalFormatting sqref="S6:S65">
    <cfRule type="cellIs" priority="9" operator="lessThan" dxfId="4">
      <formula>0</formula>
    </cfRule>
  </conditionalFormatting>
  <conditionalFormatting sqref="U6:U65">
    <cfRule type="cellIs" priority="10" operator="lessThan" dxfId="4">
      <formula>0</formula>
    </cfRule>
  </conditionalFormatting>
  <dataValidations count="2">
    <dataValidation sqref="B6:B65" showDropDown="0" showInputMessage="0" showErrorMessage="0" allowBlank="1" type="list">
      <formula1>='Configuración'!$A$26:$A$40</formula1>
    </dataValidation>
    <dataValidation sqref="C6:C65" showDropDown="0" showInputMessage="0" showErrorMessage="0" allowBlank="1" type="list">
      <formula1>"Video,Imagen,Carrusel,UGC,Otro"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cols>
    <col width="58" customWidth="1" min="1" max="1"/>
    <col width="14" customWidth="1" min="2" max="2"/>
    <col width="14" customWidth="1" min="3" max="3"/>
    <col width="95" customWidth="1" min="4" max="4"/>
  </cols>
  <sheetData>
    <row r="1">
      <c r="A1" s="26" t="inlineStr">
        <is>
          <t>Configuración</t>
        </is>
      </c>
    </row>
    <row r="3">
      <c r="A3" s="27" t="inlineStr">
        <is>
          <t>PRECIOS</t>
        </is>
      </c>
      <c r="B3" s="27" t="inlineStr">
        <is>
          <t>Precio</t>
        </is>
      </c>
      <c r="C3" s="27" t="inlineStr">
        <is>
          <t>% de las ventas (estimado)</t>
        </is>
      </c>
    </row>
    <row r="4">
      <c r="A4" s="28" t="inlineStr">
        <is>
          <t>Básico</t>
        </is>
      </c>
      <c r="B4" s="29" t="n">
        <v>14900</v>
      </c>
      <c r="C4" s="30" t="n">
        <v>0.4</v>
      </c>
      <c r="D4" s="6" t="inlineStr">
        <is>
          <t>Precios sacados de la landing. El % es una estimación: ajustalo cuando veas cómo se reparten las ventas.</t>
        </is>
      </c>
    </row>
    <row r="5">
      <c r="A5" s="28" t="inlineStr">
        <is>
          <t>Premium con descuento (upsell)</t>
        </is>
      </c>
      <c r="B5" s="29" t="n">
        <v>17900</v>
      </c>
      <c r="C5" s="30" t="n">
        <v>0.25</v>
      </c>
    </row>
    <row r="6">
      <c r="A6" s="28" t="inlineStr">
        <is>
          <t>Premium precio lleno</t>
        </is>
      </c>
      <c r="B6" s="29" t="n">
        <v>19900</v>
      </c>
      <c r="C6" s="30" t="n">
        <v>0.35</v>
      </c>
    </row>
    <row r="7">
      <c r="A7" s="28" t="inlineStr">
        <is>
          <t>Ticket promedio estimado</t>
        </is>
      </c>
      <c r="B7" s="10">
        <f>SUMPRODUCT(B4:B6,C4:C6)/SUM(C4:C6)</f>
        <v/>
      </c>
      <c r="D7" s="6" t="inlineStr">
        <is>
          <t>Promedio ponderado de los precios de arriba.</t>
        </is>
      </c>
    </row>
    <row r="8">
      <c r="A8" s="28" t="inlineStr">
        <is>
          <t>Ticket promedio real (de lo cargado)</t>
        </is>
      </c>
      <c r="B8" s="10">
        <f>IF(SUM(Registro!$H$2:$H$1501)&gt;0,SUM(Registro!$I$2:$I$1501)/SUM(Registro!$H$2:$H$1501),"")</f>
        <v/>
      </c>
      <c r="D8" s="6" t="inlineStr">
        <is>
          <t>Valor de compras / compras, según lo que cargás en Registro.</t>
        </is>
      </c>
    </row>
    <row r="9">
      <c r="A9" s="28" t="inlineStr">
        <is>
          <t>Compras mínimas para usar el ticket real</t>
        </is>
      </c>
      <c r="B9" s="31" t="n">
        <v>10</v>
      </c>
      <c r="D9" s="6" t="inlineStr">
        <is>
          <t>Con pocas ventas el promedio real es poco confiable; hasta entonces se usa el estimado.</t>
        </is>
      </c>
    </row>
    <row r="10">
      <c r="A10" s="28" t="inlineStr">
        <is>
          <t>Ticket usado en los cálculos</t>
        </is>
      </c>
      <c r="B10" s="10">
        <f>IF(SUM(Registro!$H$2:$H$1501)&gt;=B9,B8,B7)</f>
        <v/>
      </c>
      <c r="D10" s="6" t="inlineStr"/>
    </row>
    <row r="12">
      <c r="A12" s="28" t="inlineStr">
        <is>
          <t>Comisión Mercado Pago</t>
        </is>
      </c>
      <c r="B12" s="32" t="n">
        <v>0.0761</v>
      </c>
      <c r="D12" s="6" t="inlineStr">
        <is>
          <t>Estimado: 6,29% + IVA (acreditación inmediata). Verificalo en tu cuenta de Mercado Pago &gt; Costos.</t>
        </is>
      </c>
    </row>
    <row r="13">
      <c r="A13" s="28" t="inlineStr">
        <is>
          <t>Comisión Shopify por pasarela externa</t>
        </is>
      </c>
      <c r="B13" s="32" t="n">
        <v>0.02</v>
      </c>
      <c r="D13" s="6" t="inlineStr">
        <is>
          <t>Shopify cobra un % extra si no usás Shopify Payments (2% en plan Basic). Verificá tu plan.</t>
        </is>
      </c>
    </row>
    <row r="14">
      <c r="A14" s="28" t="inlineStr">
        <is>
          <t>Impuestos que Meta suma al gasto</t>
        </is>
      </c>
      <c r="B14" s="32" t="n">
        <v>0.21</v>
      </c>
      <c r="D14" s="6" t="inlineStr">
        <is>
          <t>Estimado: IVA 21%. Mirá una factura de Meta: si hay percepciones, sumalas. Si sos Responsable Inscripto y recuperás el IVA, poné 0%.</t>
        </is>
      </c>
    </row>
    <row r="16">
      <c r="A16" s="7" t="inlineStr">
        <is>
          <t>COSTO POR VENTA DE EQUILIBRIO (CPA BE)</t>
        </is>
      </c>
      <c r="B16" s="33">
        <f>B10*(1-B12-B13)/(1+B14)</f>
        <v/>
      </c>
      <c r="D16" s="6" t="inlineStr">
        <is>
          <t>Lo máximo que podés pagar por venta (medido como lo muestra Meta, sin impuestos) sin perder plata.</t>
        </is>
      </c>
    </row>
    <row r="17">
      <c r="A17" s="7" t="inlineStr">
        <is>
          <t>ROAS de equilibrio</t>
        </is>
      </c>
      <c r="B17" s="34">
        <f>(1+B14)/(1-B12-B13)</f>
        <v/>
      </c>
      <c r="D17" s="6" t="inlineStr">
        <is>
          <t>Por encima de este ROAS (el que muestra Meta) ganás plata.</t>
        </is>
      </c>
    </row>
    <row r="19">
      <c r="A19" s="27" t="inlineStr">
        <is>
          <t>REGLAS DE DECISIÓN DEL TEST (por anuncio)</t>
        </is>
      </c>
    </row>
    <row r="20">
      <c r="A20" s="28" t="inlineStr">
        <is>
          <t>Ventas mínimas para declarar GANADOR</t>
        </is>
      </c>
      <c r="B20" s="31" t="n">
        <v>2</v>
      </c>
      <c r="D20" s="6" t="inlineStr">
        <is>
          <t>Ganador = al menos estas ventas y CPA ≤ CPA BE.</t>
        </is>
      </c>
    </row>
    <row r="21">
      <c r="A21" s="28" t="inlineStr">
        <is>
          <t>APAGAR si gastó esto sin ninguna venta (veces el CPA BE)</t>
        </is>
      </c>
      <c r="B21" s="35" t="n">
        <v>1.5</v>
      </c>
      <c r="D21" s="6" t="inlineStr">
        <is>
          <t>Ej.: 1,5x = gastó 1,5 veces el CPA BE y no vendió nada.</t>
        </is>
      </c>
    </row>
    <row r="22">
      <c r="A22" s="28" t="inlineStr">
        <is>
          <t>APAGAR por caro: a partir de este gasto (veces el CPA BE)…</t>
        </is>
      </c>
      <c r="B22" s="35" t="n">
        <v>2</v>
      </c>
      <c r="D22" s="6" t="inlineStr"/>
    </row>
    <row r="23">
      <c r="A23" s="28" t="inlineStr">
        <is>
          <t>…si el CPA supera el CPA BE en más de</t>
        </is>
      </c>
      <c r="B23" s="30" t="n">
        <v>0.3</v>
      </c>
      <c r="D23" s="6" t="inlineStr">
        <is>
          <t>También define el margen de 'Prometedor / cerca del BE'.</t>
        </is>
      </c>
    </row>
    <row r="25">
      <c r="A25" s="27" t="inlineStr">
        <is>
          <t>ÁNGULOS DE VENTA (uno por fila)</t>
        </is>
      </c>
    </row>
    <row r="26">
      <c r="A26" s="23" t="inlineStr">
        <is>
          <t>Ahorro de tiempo</t>
        </is>
      </c>
    </row>
    <row r="27">
      <c r="A27" s="23" t="inlineStr">
        <is>
          <t>Resultados en los chicos</t>
        </is>
      </c>
    </row>
    <row r="28">
      <c r="A28" s="23" t="inlineStr">
        <is>
          <t>Autoridad musicoterapeuta</t>
        </is>
      </c>
    </row>
    <row r="29">
      <c r="A29" s="23" t="n"/>
    </row>
    <row r="30">
      <c r="A30" s="23" t="n"/>
    </row>
    <row r="31">
      <c r="A31" s="23" t="n"/>
    </row>
    <row r="32">
      <c r="A32" s="23" t="n"/>
    </row>
    <row r="33">
      <c r="A33" s="23" t="n"/>
    </row>
    <row r="34">
      <c r="A34" s="23" t="n"/>
    </row>
    <row r="35">
      <c r="A35" s="23" t="n"/>
    </row>
    <row r="36">
      <c r="A36" s="23" t="n"/>
    </row>
    <row r="37">
      <c r="A37" s="23" t="n"/>
    </row>
    <row r="38">
      <c r="A38" s="23" t="n"/>
    </row>
    <row r="39">
      <c r="A39" s="23" t="n"/>
    </row>
    <row r="40">
      <c r="A40" s="23" t="n"/>
    </row>
    <row r="43">
      <c r="A43" s="27" t="inlineStr">
        <is>
          <t>CÓMO SE USA</t>
        </is>
      </c>
    </row>
    <row r="44">
      <c r="A44" s="28" t="inlineStr">
        <is>
          <t>Celdas amarillas con texto azul = las completás vos. Texto negro = fórmulas, no tocar.</t>
        </is>
      </c>
    </row>
    <row r="45">
      <c r="A45" s="28" t="inlineStr">
        <is>
          <t>1) Cargá tus ángulos acá y tus anuncios en la hoja 'Anuncios' (nombre + ángulo).</t>
        </is>
      </c>
    </row>
    <row r="46">
      <c r="A46" s="28" t="inlineStr">
        <is>
          <t>2) Todos los días, en 'Registro', una fila por anuncio con los datos de ayer del Administrador de anuncios.</t>
        </is>
      </c>
    </row>
    <row r="47">
      <c r="A47" s="28" t="inlineStr">
        <is>
          <t>3) Mirá la columna ESTADO en 'Anuncios': te dice qué apagar y qué pasar a la campaña CBO.</t>
        </is>
      </c>
    </row>
    <row r="48">
      <c r="A48" s="28" t="inlineStr">
        <is>
          <t>Las filas de ejemplo (3 anuncios y sus registros) son de muestra: borralas antes de empezar.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50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28" customWidth="1" min="3" max="3"/>
    <col width="24" customWidth="1" min="4" max="4"/>
    <col width="14" customWidth="1" min="5" max="5"/>
    <col width="13" customWidth="1" min="6" max="6"/>
    <col width="11" customWidth="1" min="7" max="7"/>
    <col width="10" customWidth="1" min="8" max="8"/>
    <col width="15" customWidth="1" min="9" max="9"/>
    <col width="9" customWidth="1" min="10" max="10"/>
    <col width="10" customWidth="1" min="11" max="11"/>
    <col width="12" customWidth="1" min="12" max="12"/>
    <col width="9" customWidth="1" min="13" max="13"/>
    <col width="15" customWidth="1" min="14" max="14"/>
    <col width="34" customWidth="1" min="15" max="15"/>
  </cols>
  <sheetData>
    <row r="1" ht="32" customHeight="1">
      <c r="A1" s="8" t="inlineStr">
        <is>
          <t>Fecha</t>
        </is>
      </c>
      <c r="B1" s="8" t="inlineStr">
        <is>
          <t>Fase</t>
        </is>
      </c>
      <c r="C1" s="8" t="inlineStr">
        <is>
          <t>Anuncio</t>
        </is>
      </c>
      <c r="D1" s="8" t="inlineStr">
        <is>
          <t>Ángulo</t>
        </is>
      </c>
      <c r="E1" s="8" t="inlineStr">
        <is>
          <t>Gasto (Meta)</t>
        </is>
      </c>
      <c r="F1" s="8" t="inlineStr">
        <is>
          <t>Impresiones</t>
        </is>
      </c>
      <c r="G1" s="8" t="inlineStr">
        <is>
          <t>Clics en el enlace</t>
        </is>
      </c>
      <c r="H1" s="8" t="inlineStr">
        <is>
          <t>Compras</t>
        </is>
      </c>
      <c r="I1" s="8" t="inlineStr">
        <is>
          <t>Valor de compras</t>
        </is>
      </c>
      <c r="J1" s="8" t="inlineStr">
        <is>
          <t>CTR</t>
        </is>
      </c>
      <c r="K1" s="8" t="inlineStr">
        <is>
          <t>CPC</t>
        </is>
      </c>
      <c r="L1" s="8" t="inlineStr">
        <is>
          <t>CPA</t>
        </is>
      </c>
      <c r="M1" s="8" t="inlineStr">
        <is>
          <t>ROAS</t>
        </is>
      </c>
      <c r="N1" s="8" t="inlineStr">
        <is>
          <t>Ganancia neta</t>
        </is>
      </c>
      <c r="O1" s="8" t="inlineStr">
        <is>
          <t>Notas</t>
        </is>
      </c>
    </row>
    <row r="2">
      <c r="A2" s="36" t="n">
        <v>46286</v>
      </c>
      <c r="B2" s="37" t="inlineStr">
        <is>
          <t>Test ABO</t>
        </is>
      </c>
      <c r="C2" s="37" t="inlineStr">
        <is>
          <t>AD01 - Ahorro de tiempo</t>
        </is>
      </c>
      <c r="D2" s="38">
        <f>IF(C2="","",IFERROR(INDEX(Anuncios!$B$6:$B$65,MATCH(C2,Anuncios!$A$6:$A$65,0)),"(no está en Anuncios)"))</f>
        <v/>
      </c>
      <c r="E2" s="39" t="n">
        <v>10000</v>
      </c>
      <c r="F2" s="40" t="n">
        <v>9500</v>
      </c>
      <c r="G2" s="40" t="n">
        <v>140</v>
      </c>
      <c r="H2" s="40" t="n">
        <v>1</v>
      </c>
      <c r="I2" s="39" t="n">
        <v>17900</v>
      </c>
      <c r="J2" s="13">
        <f>IF(N(F2)&gt;0,G2/F2,"")</f>
        <v/>
      </c>
      <c r="K2" s="10">
        <f>IF(N(G2)&gt;0,E2/G2,"")</f>
        <v/>
      </c>
      <c r="L2" s="10">
        <f>IF(N(H2)&gt;0,E2/H2,"")</f>
        <v/>
      </c>
      <c r="M2" s="11">
        <f>IF(N(E2)&gt;0,I2/E2,"")</f>
        <v/>
      </c>
      <c r="N2" s="10">
        <f>IF(AND(E2="",I2=""),"",N(I2)*(1-COM-COM_SHOP)-N(E2)*(1+IMP_META))</f>
        <v/>
      </c>
      <c r="O2" s="37" t="inlineStr">
        <is>
          <t>EJEMPLO: borrar</t>
        </is>
      </c>
    </row>
    <row r="3">
      <c r="A3" s="36" t="n">
        <v>46287</v>
      </c>
      <c r="B3" s="37" t="inlineStr">
        <is>
          <t>Test ABO</t>
        </is>
      </c>
      <c r="C3" s="37" t="inlineStr">
        <is>
          <t>AD01 - Ahorro de tiempo</t>
        </is>
      </c>
      <c r="D3" s="38">
        <f>IF(C3="","",IFERROR(INDEX(Anuncios!$B$6:$B$65,MATCH(C3,Anuncios!$A$6:$A$65,0)),"(no está en Anuncios)"))</f>
        <v/>
      </c>
      <c r="E3" s="39" t="n">
        <v>10000</v>
      </c>
      <c r="F3" s="40" t="n">
        <v>9800</v>
      </c>
      <c r="G3" s="40" t="n">
        <v>150</v>
      </c>
      <c r="H3" s="40" t="n">
        <v>1</v>
      </c>
      <c r="I3" s="39" t="n">
        <v>14900</v>
      </c>
      <c r="J3" s="13">
        <f>IF(N(F3)&gt;0,G3/F3,"")</f>
        <v/>
      </c>
      <c r="K3" s="10">
        <f>IF(N(G3)&gt;0,E3/G3,"")</f>
        <v/>
      </c>
      <c r="L3" s="10">
        <f>IF(N(H3)&gt;0,E3/H3,"")</f>
        <v/>
      </c>
      <c r="M3" s="11">
        <f>IF(N(E3)&gt;0,I3/E3,"")</f>
        <v/>
      </c>
      <c r="N3" s="10">
        <f>IF(AND(E3="",I3=""),"",N(I3)*(1-COM-COM_SHOP)-N(E3)*(1+IMP_META))</f>
        <v/>
      </c>
      <c r="O3" s="37" t="inlineStr">
        <is>
          <t>EJEMPLO: borrar</t>
        </is>
      </c>
    </row>
    <row r="4">
      <c r="A4" s="36" t="n">
        <v>46288</v>
      </c>
      <c r="B4" s="37" t="inlineStr">
        <is>
          <t>Test ABO</t>
        </is>
      </c>
      <c r="C4" s="37" t="inlineStr">
        <is>
          <t>AD01 - Ahorro de tiempo</t>
        </is>
      </c>
      <c r="D4" s="38">
        <f>IF(C4="","",IFERROR(INDEX(Anuncios!$B$6:$B$65,MATCH(C4,Anuncios!$A$6:$A$65,0)),"(no está en Anuncios)"))</f>
        <v/>
      </c>
      <c r="E4" s="39" t="n">
        <v>10000</v>
      </c>
      <c r="F4" s="40" t="n">
        <v>10100</v>
      </c>
      <c r="G4" s="40" t="n">
        <v>160</v>
      </c>
      <c r="H4" s="40" t="n">
        <v>1</v>
      </c>
      <c r="I4" s="39" t="n">
        <v>19900</v>
      </c>
      <c r="J4" s="13">
        <f>IF(N(F4)&gt;0,G4/F4,"")</f>
        <v/>
      </c>
      <c r="K4" s="10">
        <f>IF(N(G4)&gt;0,E4/G4,"")</f>
        <v/>
      </c>
      <c r="L4" s="10">
        <f>IF(N(H4)&gt;0,E4/H4,"")</f>
        <v/>
      </c>
      <c r="M4" s="11">
        <f>IF(N(E4)&gt;0,I4/E4,"")</f>
        <v/>
      </c>
      <c r="N4" s="10">
        <f>IF(AND(E4="",I4=""),"",N(I4)*(1-COM-COM_SHOP)-N(E4)*(1+IMP_META))</f>
        <v/>
      </c>
      <c r="O4" s="37" t="inlineStr">
        <is>
          <t>EJEMPLO: borrar</t>
        </is>
      </c>
    </row>
    <row r="5">
      <c r="A5" s="36" t="n">
        <v>46286</v>
      </c>
      <c r="B5" s="37" t="inlineStr">
        <is>
          <t>Test ABO</t>
        </is>
      </c>
      <c r="C5" s="37" t="inlineStr">
        <is>
          <t>AD02 - Resultados en los chicos</t>
        </is>
      </c>
      <c r="D5" s="38">
        <f>IF(C5="","",IFERROR(INDEX(Anuncios!$B$6:$B$65,MATCH(C5,Anuncios!$A$6:$A$65,0)),"(no está en Anuncios)"))</f>
        <v/>
      </c>
      <c r="E5" s="39" t="n">
        <v>10000</v>
      </c>
      <c r="F5" s="40" t="n">
        <v>11000</v>
      </c>
      <c r="G5" s="40" t="n">
        <v>90</v>
      </c>
      <c r="H5" s="40" t="n">
        <v>0</v>
      </c>
      <c r="I5" s="39" t="n">
        <v>0</v>
      </c>
      <c r="J5" s="13">
        <f>IF(N(F5)&gt;0,G5/F5,"")</f>
        <v/>
      </c>
      <c r="K5" s="10">
        <f>IF(N(G5)&gt;0,E5/G5,"")</f>
        <v/>
      </c>
      <c r="L5" s="10">
        <f>IF(N(H5)&gt;0,E5/H5,"")</f>
        <v/>
      </c>
      <c r="M5" s="11">
        <f>IF(N(E5)&gt;0,I5/E5,"")</f>
        <v/>
      </c>
      <c r="N5" s="10">
        <f>IF(AND(E5="",I5=""),"",N(I5)*(1-COM-COM_SHOP)-N(E5)*(1+IMP_META))</f>
        <v/>
      </c>
      <c r="O5" s="37" t="inlineStr">
        <is>
          <t>EJEMPLO: borrar</t>
        </is>
      </c>
    </row>
    <row r="6">
      <c r="A6" s="36" t="n">
        <v>46287</v>
      </c>
      <c r="B6" s="37" t="inlineStr">
        <is>
          <t>Test ABO</t>
        </is>
      </c>
      <c r="C6" s="37" t="inlineStr">
        <is>
          <t>AD02 - Resultados en los chicos</t>
        </is>
      </c>
      <c r="D6" s="38">
        <f>IF(C6="","",IFERROR(INDEX(Anuncios!$B$6:$B$65,MATCH(C6,Anuncios!$A$6:$A$65,0)),"(no está en Anuncios)"))</f>
        <v/>
      </c>
      <c r="E6" s="39" t="n">
        <v>10000</v>
      </c>
      <c r="F6" s="40" t="n">
        <v>10500</v>
      </c>
      <c r="G6" s="40" t="n">
        <v>85</v>
      </c>
      <c r="H6" s="40" t="n">
        <v>0</v>
      </c>
      <c r="I6" s="39" t="n">
        <v>0</v>
      </c>
      <c r="J6" s="13">
        <f>IF(N(F6)&gt;0,G6/F6,"")</f>
        <v/>
      </c>
      <c r="K6" s="10">
        <f>IF(N(G6)&gt;0,E6/G6,"")</f>
        <v/>
      </c>
      <c r="L6" s="10">
        <f>IF(N(H6)&gt;0,E6/H6,"")</f>
        <v/>
      </c>
      <c r="M6" s="11">
        <f>IF(N(E6)&gt;0,I6/E6,"")</f>
        <v/>
      </c>
      <c r="N6" s="10">
        <f>IF(AND(E6="",I6=""),"",N(I6)*(1-COM-COM_SHOP)-N(E6)*(1+IMP_META))</f>
        <v/>
      </c>
      <c r="O6" s="37" t="inlineStr">
        <is>
          <t>EJEMPLO: borrar</t>
        </is>
      </c>
    </row>
    <row r="7">
      <c r="A7" s="36" t="n">
        <v>46288</v>
      </c>
      <c r="B7" s="37" t="inlineStr">
        <is>
          <t>Test ABO</t>
        </is>
      </c>
      <c r="C7" s="37" t="inlineStr">
        <is>
          <t>AD03 - Autoridad musicoterapeuta</t>
        </is>
      </c>
      <c r="D7" s="38">
        <f>IF(C7="","",IFERROR(INDEX(Anuncios!$B$6:$B$65,MATCH(C7,Anuncios!$A$6:$A$65,0)),"(no está en Anuncios)"))</f>
        <v/>
      </c>
      <c r="E7" s="39" t="n">
        <v>10000</v>
      </c>
      <c r="F7" s="40" t="n">
        <v>8700</v>
      </c>
      <c r="G7" s="40" t="n">
        <v>120</v>
      </c>
      <c r="H7" s="40" t="n">
        <v>1</v>
      </c>
      <c r="I7" s="39" t="n">
        <v>17900</v>
      </c>
      <c r="J7" s="13">
        <f>IF(N(F7)&gt;0,G7/F7,"")</f>
        <v/>
      </c>
      <c r="K7" s="10">
        <f>IF(N(G7)&gt;0,E7/G7,"")</f>
        <v/>
      </c>
      <c r="L7" s="10">
        <f>IF(N(H7)&gt;0,E7/H7,"")</f>
        <v/>
      </c>
      <c r="M7" s="11">
        <f>IF(N(E7)&gt;0,I7/E7,"")</f>
        <v/>
      </c>
      <c r="N7" s="10">
        <f>IF(AND(E7="",I7=""),"",N(I7)*(1-COM-COM_SHOP)-N(E7)*(1+IMP_META))</f>
        <v/>
      </c>
      <c r="O7" s="37" t="inlineStr">
        <is>
          <t>EJEMPLO: borrar</t>
        </is>
      </c>
    </row>
    <row r="8">
      <c r="A8" s="36" t="n">
        <v>46290</v>
      </c>
      <c r="B8" s="37" t="inlineStr">
        <is>
          <t>Escala CBO</t>
        </is>
      </c>
      <c r="C8" s="37" t="inlineStr">
        <is>
          <t>AD01 - Ahorro de tiempo</t>
        </is>
      </c>
      <c r="D8" s="38">
        <f>IF(C8="","",IFERROR(INDEX(Anuncios!$B$6:$B$65,MATCH(C8,Anuncios!$A$6:$A$65,0)),"(no está en Anuncios)"))</f>
        <v/>
      </c>
      <c r="E8" s="39" t="n">
        <v>25000</v>
      </c>
      <c r="F8" s="40" t="n">
        <v>24000</v>
      </c>
      <c r="G8" s="40" t="n">
        <v>380</v>
      </c>
      <c r="H8" s="40" t="n">
        <v>2</v>
      </c>
      <c r="I8" s="39" t="n">
        <v>37800</v>
      </c>
      <c r="J8" s="13">
        <f>IF(N(F8)&gt;0,G8/F8,"")</f>
        <v/>
      </c>
      <c r="K8" s="10">
        <f>IF(N(G8)&gt;0,E8/G8,"")</f>
        <v/>
      </c>
      <c r="L8" s="10">
        <f>IF(N(H8)&gt;0,E8/H8,"")</f>
        <v/>
      </c>
      <c r="M8" s="11">
        <f>IF(N(E8)&gt;0,I8/E8,"")</f>
        <v/>
      </c>
      <c r="N8" s="10">
        <f>IF(AND(E8="",I8=""),"",N(I8)*(1-COM-COM_SHOP)-N(E8)*(1+IMP_META))</f>
        <v/>
      </c>
      <c r="O8" s="37" t="inlineStr">
        <is>
          <t>EJEMPLO: borrar</t>
        </is>
      </c>
    </row>
    <row r="9">
      <c r="A9" s="36" t="n"/>
      <c r="B9" s="37" t="n"/>
      <c r="C9" s="37" t="n"/>
      <c r="D9" s="38">
        <f>IF(C9="","",IFERROR(INDEX(Anuncios!$B$6:$B$65,MATCH(C9,Anuncios!$A$6:$A$65,0)),"(no está en Anuncios)"))</f>
        <v/>
      </c>
      <c r="E9" s="39" t="n"/>
      <c r="F9" s="40" t="n"/>
      <c r="G9" s="40" t="n"/>
      <c r="H9" s="40" t="n"/>
      <c r="I9" s="39" t="n"/>
      <c r="J9" s="13">
        <f>IF(N(F9)&gt;0,G9/F9,"")</f>
        <v/>
      </c>
      <c r="K9" s="10">
        <f>IF(N(G9)&gt;0,E9/G9,"")</f>
        <v/>
      </c>
      <c r="L9" s="10">
        <f>IF(N(H9)&gt;0,E9/H9,"")</f>
        <v/>
      </c>
      <c r="M9" s="11">
        <f>IF(N(E9)&gt;0,I9/E9,"")</f>
        <v/>
      </c>
      <c r="N9" s="10">
        <f>IF(AND(E9="",I9=""),"",N(I9)*(1-COM-COM_SHOP)-N(E9)*(1+IMP_META))</f>
        <v/>
      </c>
      <c r="O9" s="37" t="n"/>
    </row>
    <row r="10">
      <c r="A10" s="36" t="n"/>
      <c r="B10" s="37" t="n"/>
      <c r="C10" s="37" t="n"/>
      <c r="D10" s="38">
        <f>IF(C10="","",IFERROR(INDEX(Anuncios!$B$6:$B$65,MATCH(C10,Anuncios!$A$6:$A$65,0)),"(no está en Anuncios)"))</f>
        <v/>
      </c>
      <c r="E10" s="39" t="n"/>
      <c r="F10" s="40" t="n"/>
      <c r="G10" s="40" t="n"/>
      <c r="H10" s="40" t="n"/>
      <c r="I10" s="39" t="n"/>
      <c r="J10" s="13">
        <f>IF(N(F10)&gt;0,G10/F10,"")</f>
        <v/>
      </c>
      <c r="K10" s="10">
        <f>IF(N(G10)&gt;0,E10/G10,"")</f>
        <v/>
      </c>
      <c r="L10" s="10">
        <f>IF(N(H10)&gt;0,E10/H10,"")</f>
        <v/>
      </c>
      <c r="M10" s="11">
        <f>IF(N(E10)&gt;0,I10/E10,"")</f>
        <v/>
      </c>
      <c r="N10" s="10">
        <f>IF(AND(E10="",I10=""),"",N(I10)*(1-COM-COM_SHOP)-N(E10)*(1+IMP_META))</f>
        <v/>
      </c>
      <c r="O10" s="37" t="n"/>
    </row>
    <row r="11">
      <c r="A11" s="36" t="n"/>
      <c r="B11" s="37" t="n"/>
      <c r="C11" s="37" t="n"/>
      <c r="D11" s="38">
        <f>IF(C11="","",IFERROR(INDEX(Anuncios!$B$6:$B$65,MATCH(C11,Anuncios!$A$6:$A$65,0)),"(no está en Anuncios)"))</f>
        <v/>
      </c>
      <c r="E11" s="39" t="n"/>
      <c r="F11" s="40" t="n"/>
      <c r="G11" s="40" t="n"/>
      <c r="H11" s="40" t="n"/>
      <c r="I11" s="39" t="n"/>
      <c r="J11" s="13">
        <f>IF(N(F11)&gt;0,G11/F11,"")</f>
        <v/>
      </c>
      <c r="K11" s="10">
        <f>IF(N(G11)&gt;0,E11/G11,"")</f>
        <v/>
      </c>
      <c r="L11" s="10">
        <f>IF(N(H11)&gt;0,E11/H11,"")</f>
        <v/>
      </c>
      <c r="M11" s="11">
        <f>IF(N(E11)&gt;0,I11/E11,"")</f>
        <v/>
      </c>
      <c r="N11" s="10">
        <f>IF(AND(E11="",I11=""),"",N(I11)*(1-COM-COM_SHOP)-N(E11)*(1+IMP_META))</f>
        <v/>
      </c>
      <c r="O11" s="37" t="n"/>
    </row>
    <row r="12">
      <c r="A12" s="36" t="n"/>
      <c r="B12" s="37" t="n"/>
      <c r="C12" s="37" t="n"/>
      <c r="D12" s="38">
        <f>IF(C12="","",IFERROR(INDEX(Anuncios!$B$6:$B$65,MATCH(C12,Anuncios!$A$6:$A$65,0)),"(no está en Anuncios)"))</f>
        <v/>
      </c>
      <c r="E12" s="39" t="n"/>
      <c r="F12" s="40" t="n"/>
      <c r="G12" s="40" t="n"/>
      <c r="H12" s="40" t="n"/>
      <c r="I12" s="39" t="n"/>
      <c r="J12" s="13">
        <f>IF(N(F12)&gt;0,G12/F12,"")</f>
        <v/>
      </c>
      <c r="K12" s="10">
        <f>IF(N(G12)&gt;0,E12/G12,"")</f>
        <v/>
      </c>
      <c r="L12" s="10">
        <f>IF(N(H12)&gt;0,E12/H12,"")</f>
        <v/>
      </c>
      <c r="M12" s="11">
        <f>IF(N(E12)&gt;0,I12/E12,"")</f>
        <v/>
      </c>
      <c r="N12" s="10">
        <f>IF(AND(E12="",I12=""),"",N(I12)*(1-COM-COM_SHOP)-N(E12)*(1+IMP_META))</f>
        <v/>
      </c>
      <c r="O12" s="37" t="n"/>
    </row>
    <row r="13">
      <c r="A13" s="36" t="n"/>
      <c r="B13" s="37" t="n"/>
      <c r="C13" s="37" t="n"/>
      <c r="D13" s="38">
        <f>IF(C13="","",IFERROR(INDEX(Anuncios!$B$6:$B$65,MATCH(C13,Anuncios!$A$6:$A$65,0)),"(no está en Anuncios)"))</f>
        <v/>
      </c>
      <c r="E13" s="39" t="n"/>
      <c r="F13" s="40" t="n"/>
      <c r="G13" s="40" t="n"/>
      <c r="H13" s="40" t="n"/>
      <c r="I13" s="39" t="n"/>
      <c r="J13" s="13">
        <f>IF(N(F13)&gt;0,G13/F13,"")</f>
        <v/>
      </c>
      <c r="K13" s="10">
        <f>IF(N(G13)&gt;0,E13/G13,"")</f>
        <v/>
      </c>
      <c r="L13" s="10">
        <f>IF(N(H13)&gt;0,E13/H13,"")</f>
        <v/>
      </c>
      <c r="M13" s="11">
        <f>IF(N(E13)&gt;0,I13/E13,"")</f>
        <v/>
      </c>
      <c r="N13" s="10">
        <f>IF(AND(E13="",I13=""),"",N(I13)*(1-COM-COM_SHOP)-N(E13)*(1+IMP_META))</f>
        <v/>
      </c>
      <c r="O13" s="37" t="n"/>
    </row>
    <row r="14">
      <c r="A14" s="36" t="n"/>
      <c r="B14" s="37" t="n"/>
      <c r="C14" s="37" t="n"/>
      <c r="D14" s="38">
        <f>IF(C14="","",IFERROR(INDEX(Anuncios!$B$6:$B$65,MATCH(C14,Anuncios!$A$6:$A$65,0)),"(no está en Anuncios)"))</f>
        <v/>
      </c>
      <c r="E14" s="39" t="n"/>
      <c r="F14" s="40" t="n"/>
      <c r="G14" s="40" t="n"/>
      <c r="H14" s="40" t="n"/>
      <c r="I14" s="39" t="n"/>
      <c r="J14" s="13">
        <f>IF(N(F14)&gt;0,G14/F14,"")</f>
        <v/>
      </c>
      <c r="K14" s="10">
        <f>IF(N(G14)&gt;0,E14/G14,"")</f>
        <v/>
      </c>
      <c r="L14" s="10">
        <f>IF(N(H14)&gt;0,E14/H14,"")</f>
        <v/>
      </c>
      <c r="M14" s="11">
        <f>IF(N(E14)&gt;0,I14/E14,"")</f>
        <v/>
      </c>
      <c r="N14" s="10">
        <f>IF(AND(E14="",I14=""),"",N(I14)*(1-COM-COM_SHOP)-N(E14)*(1+IMP_META))</f>
        <v/>
      </c>
      <c r="O14" s="37" t="n"/>
    </row>
    <row r="15">
      <c r="A15" s="36" t="n"/>
      <c r="B15" s="37" t="n"/>
      <c r="C15" s="37" t="n"/>
      <c r="D15" s="38">
        <f>IF(C15="","",IFERROR(INDEX(Anuncios!$B$6:$B$65,MATCH(C15,Anuncios!$A$6:$A$65,0)),"(no está en Anuncios)"))</f>
        <v/>
      </c>
      <c r="E15" s="39" t="n"/>
      <c r="F15" s="40" t="n"/>
      <c r="G15" s="40" t="n"/>
      <c r="H15" s="40" t="n"/>
      <c r="I15" s="39" t="n"/>
      <c r="J15" s="13">
        <f>IF(N(F15)&gt;0,G15/F15,"")</f>
        <v/>
      </c>
      <c r="K15" s="10">
        <f>IF(N(G15)&gt;0,E15/G15,"")</f>
        <v/>
      </c>
      <c r="L15" s="10">
        <f>IF(N(H15)&gt;0,E15/H15,"")</f>
        <v/>
      </c>
      <c r="M15" s="11">
        <f>IF(N(E15)&gt;0,I15/E15,"")</f>
        <v/>
      </c>
      <c r="N15" s="10">
        <f>IF(AND(E15="",I15=""),"",N(I15)*(1-COM-COM_SHOP)-N(E15)*(1+IMP_META))</f>
        <v/>
      </c>
      <c r="O15" s="37" t="n"/>
    </row>
    <row r="16">
      <c r="A16" s="36" t="n"/>
      <c r="B16" s="37" t="n"/>
      <c r="C16" s="37" t="n"/>
      <c r="D16" s="38">
        <f>IF(C16="","",IFERROR(INDEX(Anuncios!$B$6:$B$65,MATCH(C16,Anuncios!$A$6:$A$65,0)),"(no está en Anuncios)"))</f>
        <v/>
      </c>
      <c r="E16" s="39" t="n"/>
      <c r="F16" s="40" t="n"/>
      <c r="G16" s="40" t="n"/>
      <c r="H16" s="40" t="n"/>
      <c r="I16" s="39" t="n"/>
      <c r="J16" s="13">
        <f>IF(N(F16)&gt;0,G16/F16,"")</f>
        <v/>
      </c>
      <c r="K16" s="10">
        <f>IF(N(G16)&gt;0,E16/G16,"")</f>
        <v/>
      </c>
      <c r="L16" s="10">
        <f>IF(N(H16)&gt;0,E16/H16,"")</f>
        <v/>
      </c>
      <c r="M16" s="11">
        <f>IF(N(E16)&gt;0,I16/E16,"")</f>
        <v/>
      </c>
      <c r="N16" s="10">
        <f>IF(AND(E16="",I16=""),"",N(I16)*(1-COM-COM_SHOP)-N(E16)*(1+IMP_META))</f>
        <v/>
      </c>
      <c r="O16" s="37" t="n"/>
    </row>
    <row r="17">
      <c r="A17" s="36" t="n"/>
      <c r="B17" s="37" t="n"/>
      <c r="C17" s="37" t="n"/>
      <c r="D17" s="38">
        <f>IF(C17="","",IFERROR(INDEX(Anuncios!$B$6:$B$65,MATCH(C17,Anuncios!$A$6:$A$65,0)),"(no está en Anuncios)"))</f>
        <v/>
      </c>
      <c r="E17" s="39" t="n"/>
      <c r="F17" s="40" t="n"/>
      <c r="G17" s="40" t="n"/>
      <c r="H17" s="40" t="n"/>
      <c r="I17" s="39" t="n"/>
      <c r="J17" s="13">
        <f>IF(N(F17)&gt;0,G17/F17,"")</f>
        <v/>
      </c>
      <c r="K17" s="10">
        <f>IF(N(G17)&gt;0,E17/G17,"")</f>
        <v/>
      </c>
      <c r="L17" s="10">
        <f>IF(N(H17)&gt;0,E17/H17,"")</f>
        <v/>
      </c>
      <c r="M17" s="11">
        <f>IF(N(E17)&gt;0,I17/E17,"")</f>
        <v/>
      </c>
      <c r="N17" s="10">
        <f>IF(AND(E17="",I17=""),"",N(I17)*(1-COM-COM_SHOP)-N(E17)*(1+IMP_META))</f>
        <v/>
      </c>
      <c r="O17" s="37" t="n"/>
    </row>
    <row r="18">
      <c r="A18" s="36" t="n"/>
      <c r="B18" s="37" t="n"/>
      <c r="C18" s="37" t="n"/>
      <c r="D18" s="38">
        <f>IF(C18="","",IFERROR(INDEX(Anuncios!$B$6:$B$65,MATCH(C18,Anuncios!$A$6:$A$65,0)),"(no está en Anuncios)"))</f>
        <v/>
      </c>
      <c r="E18" s="39" t="n"/>
      <c r="F18" s="40" t="n"/>
      <c r="G18" s="40" t="n"/>
      <c r="H18" s="40" t="n"/>
      <c r="I18" s="39" t="n"/>
      <c r="J18" s="13">
        <f>IF(N(F18)&gt;0,G18/F18,"")</f>
        <v/>
      </c>
      <c r="K18" s="10">
        <f>IF(N(G18)&gt;0,E18/G18,"")</f>
        <v/>
      </c>
      <c r="L18" s="10">
        <f>IF(N(H18)&gt;0,E18/H18,"")</f>
        <v/>
      </c>
      <c r="M18" s="11">
        <f>IF(N(E18)&gt;0,I18/E18,"")</f>
        <v/>
      </c>
      <c r="N18" s="10">
        <f>IF(AND(E18="",I18=""),"",N(I18)*(1-COM-COM_SHOP)-N(E18)*(1+IMP_META))</f>
        <v/>
      </c>
      <c r="O18" s="37" t="n"/>
    </row>
    <row r="19">
      <c r="A19" s="36" t="n"/>
      <c r="B19" s="37" t="n"/>
      <c r="C19" s="37" t="n"/>
      <c r="D19" s="38">
        <f>IF(C19="","",IFERROR(INDEX(Anuncios!$B$6:$B$65,MATCH(C19,Anuncios!$A$6:$A$65,0)),"(no está en Anuncios)"))</f>
        <v/>
      </c>
      <c r="E19" s="39" t="n"/>
      <c r="F19" s="40" t="n"/>
      <c r="G19" s="40" t="n"/>
      <c r="H19" s="40" t="n"/>
      <c r="I19" s="39" t="n"/>
      <c r="J19" s="13">
        <f>IF(N(F19)&gt;0,G19/F19,"")</f>
        <v/>
      </c>
      <c r="K19" s="10">
        <f>IF(N(G19)&gt;0,E19/G19,"")</f>
        <v/>
      </c>
      <c r="L19" s="10">
        <f>IF(N(H19)&gt;0,E19/H19,"")</f>
        <v/>
      </c>
      <c r="M19" s="11">
        <f>IF(N(E19)&gt;0,I19/E19,"")</f>
        <v/>
      </c>
      <c r="N19" s="10">
        <f>IF(AND(E19="",I19=""),"",N(I19)*(1-COM-COM_SHOP)-N(E19)*(1+IMP_META))</f>
        <v/>
      </c>
      <c r="O19" s="37" t="n"/>
    </row>
    <row r="20">
      <c r="A20" s="36" t="n"/>
      <c r="B20" s="37" t="n"/>
      <c r="C20" s="37" t="n"/>
      <c r="D20" s="38">
        <f>IF(C20="","",IFERROR(INDEX(Anuncios!$B$6:$B$65,MATCH(C20,Anuncios!$A$6:$A$65,0)),"(no está en Anuncios)"))</f>
        <v/>
      </c>
      <c r="E20" s="39" t="n"/>
      <c r="F20" s="40" t="n"/>
      <c r="G20" s="40" t="n"/>
      <c r="H20" s="40" t="n"/>
      <c r="I20" s="39" t="n"/>
      <c r="J20" s="13">
        <f>IF(N(F20)&gt;0,G20/F20,"")</f>
        <v/>
      </c>
      <c r="K20" s="10">
        <f>IF(N(G20)&gt;0,E20/G20,"")</f>
        <v/>
      </c>
      <c r="L20" s="10">
        <f>IF(N(H20)&gt;0,E20/H20,"")</f>
        <v/>
      </c>
      <c r="M20" s="11">
        <f>IF(N(E20)&gt;0,I20/E20,"")</f>
        <v/>
      </c>
      <c r="N20" s="10">
        <f>IF(AND(E20="",I20=""),"",N(I20)*(1-COM-COM_SHOP)-N(E20)*(1+IMP_META))</f>
        <v/>
      </c>
      <c r="O20" s="37" t="n"/>
    </row>
    <row r="21">
      <c r="A21" s="36" t="n"/>
      <c r="B21" s="37" t="n"/>
      <c r="C21" s="37" t="n"/>
      <c r="D21" s="38">
        <f>IF(C21="","",IFERROR(INDEX(Anuncios!$B$6:$B$65,MATCH(C21,Anuncios!$A$6:$A$65,0)),"(no está en Anuncios)"))</f>
        <v/>
      </c>
      <c r="E21" s="39" t="n"/>
      <c r="F21" s="40" t="n"/>
      <c r="G21" s="40" t="n"/>
      <c r="H21" s="40" t="n"/>
      <c r="I21" s="39" t="n"/>
      <c r="J21" s="13">
        <f>IF(N(F21)&gt;0,G21/F21,"")</f>
        <v/>
      </c>
      <c r="K21" s="10">
        <f>IF(N(G21)&gt;0,E21/G21,"")</f>
        <v/>
      </c>
      <c r="L21" s="10">
        <f>IF(N(H21)&gt;0,E21/H21,"")</f>
        <v/>
      </c>
      <c r="M21" s="11">
        <f>IF(N(E21)&gt;0,I21/E21,"")</f>
        <v/>
      </c>
      <c r="N21" s="10">
        <f>IF(AND(E21="",I21=""),"",N(I21)*(1-COM-COM_SHOP)-N(E21)*(1+IMP_META))</f>
        <v/>
      </c>
      <c r="O21" s="37" t="n"/>
    </row>
    <row r="22">
      <c r="A22" s="36" t="n"/>
      <c r="B22" s="37" t="n"/>
      <c r="C22" s="37" t="n"/>
      <c r="D22" s="38">
        <f>IF(C22="","",IFERROR(INDEX(Anuncios!$B$6:$B$65,MATCH(C22,Anuncios!$A$6:$A$65,0)),"(no está en Anuncios)"))</f>
        <v/>
      </c>
      <c r="E22" s="39" t="n"/>
      <c r="F22" s="40" t="n"/>
      <c r="G22" s="40" t="n"/>
      <c r="H22" s="40" t="n"/>
      <c r="I22" s="39" t="n"/>
      <c r="J22" s="13">
        <f>IF(N(F22)&gt;0,G22/F22,"")</f>
        <v/>
      </c>
      <c r="K22" s="10">
        <f>IF(N(G22)&gt;0,E22/G22,"")</f>
        <v/>
      </c>
      <c r="L22" s="10">
        <f>IF(N(H22)&gt;0,E22/H22,"")</f>
        <v/>
      </c>
      <c r="M22" s="11">
        <f>IF(N(E22)&gt;0,I22/E22,"")</f>
        <v/>
      </c>
      <c r="N22" s="10">
        <f>IF(AND(E22="",I22=""),"",N(I22)*(1-COM-COM_SHOP)-N(E22)*(1+IMP_META))</f>
        <v/>
      </c>
      <c r="O22" s="37" t="n"/>
    </row>
    <row r="23">
      <c r="A23" s="36" t="n"/>
      <c r="B23" s="37" t="n"/>
      <c r="C23" s="37" t="n"/>
      <c r="D23" s="38">
        <f>IF(C23="","",IFERROR(INDEX(Anuncios!$B$6:$B$65,MATCH(C23,Anuncios!$A$6:$A$65,0)),"(no está en Anuncios)"))</f>
        <v/>
      </c>
      <c r="E23" s="39" t="n"/>
      <c r="F23" s="40" t="n"/>
      <c r="G23" s="40" t="n"/>
      <c r="H23" s="40" t="n"/>
      <c r="I23" s="39" t="n"/>
      <c r="J23" s="13">
        <f>IF(N(F23)&gt;0,G23/F23,"")</f>
        <v/>
      </c>
      <c r="K23" s="10">
        <f>IF(N(G23)&gt;0,E23/G23,"")</f>
        <v/>
      </c>
      <c r="L23" s="10">
        <f>IF(N(H23)&gt;0,E23/H23,"")</f>
        <v/>
      </c>
      <c r="M23" s="11">
        <f>IF(N(E23)&gt;0,I23/E23,"")</f>
        <v/>
      </c>
      <c r="N23" s="10">
        <f>IF(AND(E23="",I23=""),"",N(I23)*(1-COM-COM_SHOP)-N(E23)*(1+IMP_META))</f>
        <v/>
      </c>
      <c r="O23" s="37" t="n"/>
    </row>
    <row r="24">
      <c r="A24" s="36" t="n"/>
      <c r="B24" s="37" t="n"/>
      <c r="C24" s="37" t="n"/>
      <c r="D24" s="38">
        <f>IF(C24="","",IFERROR(INDEX(Anuncios!$B$6:$B$65,MATCH(C24,Anuncios!$A$6:$A$65,0)),"(no está en Anuncios)"))</f>
        <v/>
      </c>
      <c r="E24" s="39" t="n"/>
      <c r="F24" s="40" t="n"/>
      <c r="G24" s="40" t="n"/>
      <c r="H24" s="40" t="n"/>
      <c r="I24" s="39" t="n"/>
      <c r="J24" s="13">
        <f>IF(N(F24)&gt;0,G24/F24,"")</f>
        <v/>
      </c>
      <c r="K24" s="10">
        <f>IF(N(G24)&gt;0,E24/G24,"")</f>
        <v/>
      </c>
      <c r="L24" s="10">
        <f>IF(N(H24)&gt;0,E24/H24,"")</f>
        <v/>
      </c>
      <c r="M24" s="11">
        <f>IF(N(E24)&gt;0,I24/E24,"")</f>
        <v/>
      </c>
      <c r="N24" s="10">
        <f>IF(AND(E24="",I24=""),"",N(I24)*(1-COM-COM_SHOP)-N(E24)*(1+IMP_META))</f>
        <v/>
      </c>
      <c r="O24" s="37" t="n"/>
    </row>
    <row r="25">
      <c r="A25" s="36" t="n"/>
      <c r="B25" s="37" t="n"/>
      <c r="C25" s="37" t="n"/>
      <c r="D25" s="38">
        <f>IF(C25="","",IFERROR(INDEX(Anuncios!$B$6:$B$65,MATCH(C25,Anuncios!$A$6:$A$65,0)),"(no está en Anuncios)"))</f>
        <v/>
      </c>
      <c r="E25" s="39" t="n"/>
      <c r="F25" s="40" t="n"/>
      <c r="G25" s="40" t="n"/>
      <c r="H25" s="40" t="n"/>
      <c r="I25" s="39" t="n"/>
      <c r="J25" s="13">
        <f>IF(N(F25)&gt;0,G25/F25,"")</f>
        <v/>
      </c>
      <c r="K25" s="10">
        <f>IF(N(G25)&gt;0,E25/G25,"")</f>
        <v/>
      </c>
      <c r="L25" s="10">
        <f>IF(N(H25)&gt;0,E25/H25,"")</f>
        <v/>
      </c>
      <c r="M25" s="11">
        <f>IF(N(E25)&gt;0,I25/E25,"")</f>
        <v/>
      </c>
      <c r="N25" s="10">
        <f>IF(AND(E25="",I25=""),"",N(I25)*(1-COM-COM_SHOP)-N(E25)*(1+IMP_META))</f>
        <v/>
      </c>
      <c r="O25" s="37" t="n"/>
    </row>
    <row r="26">
      <c r="A26" s="36" t="n"/>
      <c r="B26" s="37" t="n"/>
      <c r="C26" s="37" t="n"/>
      <c r="D26" s="38">
        <f>IF(C26="","",IFERROR(INDEX(Anuncios!$B$6:$B$65,MATCH(C26,Anuncios!$A$6:$A$65,0)),"(no está en Anuncios)"))</f>
        <v/>
      </c>
      <c r="E26" s="39" t="n"/>
      <c r="F26" s="40" t="n"/>
      <c r="G26" s="40" t="n"/>
      <c r="H26" s="40" t="n"/>
      <c r="I26" s="39" t="n"/>
      <c r="J26" s="13">
        <f>IF(N(F26)&gt;0,G26/F26,"")</f>
        <v/>
      </c>
      <c r="K26" s="10">
        <f>IF(N(G26)&gt;0,E26/G26,"")</f>
        <v/>
      </c>
      <c r="L26" s="10">
        <f>IF(N(H26)&gt;0,E26/H26,"")</f>
        <v/>
      </c>
      <c r="M26" s="11">
        <f>IF(N(E26)&gt;0,I26/E26,"")</f>
        <v/>
      </c>
      <c r="N26" s="10">
        <f>IF(AND(E26="",I26=""),"",N(I26)*(1-COM-COM_SHOP)-N(E26)*(1+IMP_META))</f>
        <v/>
      </c>
      <c r="O26" s="37" t="n"/>
    </row>
    <row r="27">
      <c r="A27" s="36" t="n"/>
      <c r="B27" s="37" t="n"/>
      <c r="C27" s="37" t="n"/>
      <c r="D27" s="38">
        <f>IF(C27="","",IFERROR(INDEX(Anuncios!$B$6:$B$65,MATCH(C27,Anuncios!$A$6:$A$65,0)),"(no está en Anuncios)"))</f>
        <v/>
      </c>
      <c r="E27" s="39" t="n"/>
      <c r="F27" s="40" t="n"/>
      <c r="G27" s="40" t="n"/>
      <c r="H27" s="40" t="n"/>
      <c r="I27" s="39" t="n"/>
      <c r="J27" s="13">
        <f>IF(N(F27)&gt;0,G27/F27,"")</f>
        <v/>
      </c>
      <c r="K27" s="10">
        <f>IF(N(G27)&gt;0,E27/G27,"")</f>
        <v/>
      </c>
      <c r="L27" s="10">
        <f>IF(N(H27)&gt;0,E27/H27,"")</f>
        <v/>
      </c>
      <c r="M27" s="11">
        <f>IF(N(E27)&gt;0,I27/E27,"")</f>
        <v/>
      </c>
      <c r="N27" s="10">
        <f>IF(AND(E27="",I27=""),"",N(I27)*(1-COM-COM_SHOP)-N(E27)*(1+IMP_META))</f>
        <v/>
      </c>
      <c r="O27" s="37" t="n"/>
    </row>
    <row r="28">
      <c r="A28" s="36" t="n"/>
      <c r="B28" s="37" t="n"/>
      <c r="C28" s="37" t="n"/>
      <c r="D28" s="38">
        <f>IF(C28="","",IFERROR(INDEX(Anuncios!$B$6:$B$65,MATCH(C28,Anuncios!$A$6:$A$65,0)),"(no está en Anuncios)"))</f>
        <v/>
      </c>
      <c r="E28" s="39" t="n"/>
      <c r="F28" s="40" t="n"/>
      <c r="G28" s="40" t="n"/>
      <c r="H28" s="40" t="n"/>
      <c r="I28" s="39" t="n"/>
      <c r="J28" s="13">
        <f>IF(N(F28)&gt;0,G28/F28,"")</f>
        <v/>
      </c>
      <c r="K28" s="10">
        <f>IF(N(G28)&gt;0,E28/G28,"")</f>
        <v/>
      </c>
      <c r="L28" s="10">
        <f>IF(N(H28)&gt;0,E28/H28,"")</f>
        <v/>
      </c>
      <c r="M28" s="11">
        <f>IF(N(E28)&gt;0,I28/E28,"")</f>
        <v/>
      </c>
      <c r="N28" s="10">
        <f>IF(AND(E28="",I28=""),"",N(I28)*(1-COM-COM_SHOP)-N(E28)*(1+IMP_META))</f>
        <v/>
      </c>
      <c r="O28" s="37" t="n"/>
    </row>
    <row r="29">
      <c r="A29" s="36" t="n"/>
      <c r="B29" s="37" t="n"/>
      <c r="C29" s="37" t="n"/>
      <c r="D29" s="38">
        <f>IF(C29="","",IFERROR(INDEX(Anuncios!$B$6:$B$65,MATCH(C29,Anuncios!$A$6:$A$65,0)),"(no está en Anuncios)"))</f>
        <v/>
      </c>
      <c r="E29" s="39" t="n"/>
      <c r="F29" s="40" t="n"/>
      <c r="G29" s="40" t="n"/>
      <c r="H29" s="40" t="n"/>
      <c r="I29" s="39" t="n"/>
      <c r="J29" s="13">
        <f>IF(N(F29)&gt;0,G29/F29,"")</f>
        <v/>
      </c>
      <c r="K29" s="10">
        <f>IF(N(G29)&gt;0,E29/G29,"")</f>
        <v/>
      </c>
      <c r="L29" s="10">
        <f>IF(N(H29)&gt;0,E29/H29,"")</f>
        <v/>
      </c>
      <c r="M29" s="11">
        <f>IF(N(E29)&gt;0,I29/E29,"")</f>
        <v/>
      </c>
      <c r="N29" s="10">
        <f>IF(AND(E29="",I29=""),"",N(I29)*(1-COM-COM_SHOP)-N(E29)*(1+IMP_META))</f>
        <v/>
      </c>
      <c r="O29" s="37" t="n"/>
    </row>
    <row r="30">
      <c r="A30" s="36" t="n"/>
      <c r="B30" s="37" t="n"/>
      <c r="C30" s="37" t="n"/>
      <c r="D30" s="38">
        <f>IF(C30="","",IFERROR(INDEX(Anuncios!$B$6:$B$65,MATCH(C30,Anuncios!$A$6:$A$65,0)),"(no está en Anuncios)"))</f>
        <v/>
      </c>
      <c r="E30" s="39" t="n"/>
      <c r="F30" s="40" t="n"/>
      <c r="G30" s="40" t="n"/>
      <c r="H30" s="40" t="n"/>
      <c r="I30" s="39" t="n"/>
      <c r="J30" s="13">
        <f>IF(N(F30)&gt;0,G30/F30,"")</f>
        <v/>
      </c>
      <c r="K30" s="10">
        <f>IF(N(G30)&gt;0,E30/G30,"")</f>
        <v/>
      </c>
      <c r="L30" s="10">
        <f>IF(N(H30)&gt;0,E30/H30,"")</f>
        <v/>
      </c>
      <c r="M30" s="11">
        <f>IF(N(E30)&gt;0,I30/E30,"")</f>
        <v/>
      </c>
      <c r="N30" s="10">
        <f>IF(AND(E30="",I30=""),"",N(I30)*(1-COM-COM_SHOP)-N(E30)*(1+IMP_META))</f>
        <v/>
      </c>
      <c r="O30" s="37" t="n"/>
    </row>
    <row r="31">
      <c r="A31" s="36" t="n"/>
      <c r="B31" s="37" t="n"/>
      <c r="C31" s="37" t="n"/>
      <c r="D31" s="38">
        <f>IF(C31="","",IFERROR(INDEX(Anuncios!$B$6:$B$65,MATCH(C31,Anuncios!$A$6:$A$65,0)),"(no está en Anuncios)"))</f>
        <v/>
      </c>
      <c r="E31" s="39" t="n"/>
      <c r="F31" s="40" t="n"/>
      <c r="G31" s="40" t="n"/>
      <c r="H31" s="40" t="n"/>
      <c r="I31" s="39" t="n"/>
      <c r="J31" s="13">
        <f>IF(N(F31)&gt;0,G31/F31,"")</f>
        <v/>
      </c>
      <c r="K31" s="10">
        <f>IF(N(G31)&gt;0,E31/G31,"")</f>
        <v/>
      </c>
      <c r="L31" s="10">
        <f>IF(N(H31)&gt;0,E31/H31,"")</f>
        <v/>
      </c>
      <c r="M31" s="11">
        <f>IF(N(E31)&gt;0,I31/E31,"")</f>
        <v/>
      </c>
      <c r="N31" s="10">
        <f>IF(AND(E31="",I31=""),"",N(I31)*(1-COM-COM_SHOP)-N(E31)*(1+IMP_META))</f>
        <v/>
      </c>
      <c r="O31" s="37" t="n"/>
    </row>
    <row r="32">
      <c r="A32" s="36" t="n"/>
      <c r="B32" s="37" t="n"/>
      <c r="C32" s="37" t="n"/>
      <c r="D32" s="38">
        <f>IF(C32="","",IFERROR(INDEX(Anuncios!$B$6:$B$65,MATCH(C32,Anuncios!$A$6:$A$65,0)),"(no está en Anuncios)"))</f>
        <v/>
      </c>
      <c r="E32" s="39" t="n"/>
      <c r="F32" s="40" t="n"/>
      <c r="G32" s="40" t="n"/>
      <c r="H32" s="40" t="n"/>
      <c r="I32" s="39" t="n"/>
      <c r="J32" s="13">
        <f>IF(N(F32)&gt;0,G32/F32,"")</f>
        <v/>
      </c>
      <c r="K32" s="10">
        <f>IF(N(G32)&gt;0,E32/G32,"")</f>
        <v/>
      </c>
      <c r="L32" s="10">
        <f>IF(N(H32)&gt;0,E32/H32,"")</f>
        <v/>
      </c>
      <c r="M32" s="11">
        <f>IF(N(E32)&gt;0,I32/E32,"")</f>
        <v/>
      </c>
      <c r="N32" s="10">
        <f>IF(AND(E32="",I32=""),"",N(I32)*(1-COM-COM_SHOP)-N(E32)*(1+IMP_META))</f>
        <v/>
      </c>
      <c r="O32" s="37" t="n"/>
    </row>
    <row r="33">
      <c r="A33" s="36" t="n"/>
      <c r="B33" s="37" t="n"/>
      <c r="C33" s="37" t="n"/>
      <c r="D33" s="38">
        <f>IF(C33="","",IFERROR(INDEX(Anuncios!$B$6:$B$65,MATCH(C33,Anuncios!$A$6:$A$65,0)),"(no está en Anuncios)"))</f>
        <v/>
      </c>
      <c r="E33" s="39" t="n"/>
      <c r="F33" s="40" t="n"/>
      <c r="G33" s="40" t="n"/>
      <c r="H33" s="40" t="n"/>
      <c r="I33" s="39" t="n"/>
      <c r="J33" s="13">
        <f>IF(N(F33)&gt;0,G33/F33,"")</f>
        <v/>
      </c>
      <c r="K33" s="10">
        <f>IF(N(G33)&gt;0,E33/G33,"")</f>
        <v/>
      </c>
      <c r="L33" s="10">
        <f>IF(N(H33)&gt;0,E33/H33,"")</f>
        <v/>
      </c>
      <c r="M33" s="11">
        <f>IF(N(E33)&gt;0,I33/E33,"")</f>
        <v/>
      </c>
      <c r="N33" s="10">
        <f>IF(AND(E33="",I33=""),"",N(I33)*(1-COM-COM_SHOP)-N(E33)*(1+IMP_META))</f>
        <v/>
      </c>
      <c r="O33" s="37" t="n"/>
    </row>
    <row r="34">
      <c r="A34" s="36" t="n"/>
      <c r="B34" s="37" t="n"/>
      <c r="C34" s="37" t="n"/>
      <c r="D34" s="38">
        <f>IF(C34="","",IFERROR(INDEX(Anuncios!$B$6:$B$65,MATCH(C34,Anuncios!$A$6:$A$65,0)),"(no está en Anuncios)"))</f>
        <v/>
      </c>
      <c r="E34" s="39" t="n"/>
      <c r="F34" s="40" t="n"/>
      <c r="G34" s="40" t="n"/>
      <c r="H34" s="40" t="n"/>
      <c r="I34" s="39" t="n"/>
      <c r="J34" s="13">
        <f>IF(N(F34)&gt;0,G34/F34,"")</f>
        <v/>
      </c>
      <c r="K34" s="10">
        <f>IF(N(G34)&gt;0,E34/G34,"")</f>
        <v/>
      </c>
      <c r="L34" s="10">
        <f>IF(N(H34)&gt;0,E34/H34,"")</f>
        <v/>
      </c>
      <c r="M34" s="11">
        <f>IF(N(E34)&gt;0,I34/E34,"")</f>
        <v/>
      </c>
      <c r="N34" s="10">
        <f>IF(AND(E34="",I34=""),"",N(I34)*(1-COM-COM_SHOP)-N(E34)*(1+IMP_META))</f>
        <v/>
      </c>
      <c r="O34" s="37" t="n"/>
    </row>
    <row r="35">
      <c r="A35" s="36" t="n"/>
      <c r="B35" s="37" t="n"/>
      <c r="C35" s="37" t="n"/>
      <c r="D35" s="38">
        <f>IF(C35="","",IFERROR(INDEX(Anuncios!$B$6:$B$65,MATCH(C35,Anuncios!$A$6:$A$65,0)),"(no está en Anuncios)"))</f>
        <v/>
      </c>
      <c r="E35" s="39" t="n"/>
      <c r="F35" s="40" t="n"/>
      <c r="G35" s="40" t="n"/>
      <c r="H35" s="40" t="n"/>
      <c r="I35" s="39" t="n"/>
      <c r="J35" s="13">
        <f>IF(N(F35)&gt;0,G35/F35,"")</f>
        <v/>
      </c>
      <c r="K35" s="10">
        <f>IF(N(G35)&gt;0,E35/G35,"")</f>
        <v/>
      </c>
      <c r="L35" s="10">
        <f>IF(N(H35)&gt;0,E35/H35,"")</f>
        <v/>
      </c>
      <c r="M35" s="11">
        <f>IF(N(E35)&gt;0,I35/E35,"")</f>
        <v/>
      </c>
      <c r="N35" s="10">
        <f>IF(AND(E35="",I35=""),"",N(I35)*(1-COM-COM_SHOP)-N(E35)*(1+IMP_META))</f>
        <v/>
      </c>
      <c r="O35" s="37" t="n"/>
    </row>
    <row r="36">
      <c r="A36" s="36" t="n"/>
      <c r="B36" s="37" t="n"/>
      <c r="C36" s="37" t="n"/>
      <c r="D36" s="38">
        <f>IF(C36="","",IFERROR(INDEX(Anuncios!$B$6:$B$65,MATCH(C36,Anuncios!$A$6:$A$65,0)),"(no está en Anuncios)"))</f>
        <v/>
      </c>
      <c r="E36" s="39" t="n"/>
      <c r="F36" s="40" t="n"/>
      <c r="G36" s="40" t="n"/>
      <c r="H36" s="40" t="n"/>
      <c r="I36" s="39" t="n"/>
      <c r="J36" s="13">
        <f>IF(N(F36)&gt;0,G36/F36,"")</f>
        <v/>
      </c>
      <c r="K36" s="10">
        <f>IF(N(G36)&gt;0,E36/G36,"")</f>
        <v/>
      </c>
      <c r="L36" s="10">
        <f>IF(N(H36)&gt;0,E36/H36,"")</f>
        <v/>
      </c>
      <c r="M36" s="11">
        <f>IF(N(E36)&gt;0,I36/E36,"")</f>
        <v/>
      </c>
      <c r="N36" s="10">
        <f>IF(AND(E36="",I36=""),"",N(I36)*(1-COM-COM_SHOP)-N(E36)*(1+IMP_META))</f>
        <v/>
      </c>
      <c r="O36" s="37" t="n"/>
    </row>
    <row r="37">
      <c r="A37" s="36" t="n"/>
      <c r="B37" s="37" t="n"/>
      <c r="C37" s="37" t="n"/>
      <c r="D37" s="38">
        <f>IF(C37="","",IFERROR(INDEX(Anuncios!$B$6:$B$65,MATCH(C37,Anuncios!$A$6:$A$65,0)),"(no está en Anuncios)"))</f>
        <v/>
      </c>
      <c r="E37" s="39" t="n"/>
      <c r="F37" s="40" t="n"/>
      <c r="G37" s="40" t="n"/>
      <c r="H37" s="40" t="n"/>
      <c r="I37" s="39" t="n"/>
      <c r="J37" s="13">
        <f>IF(N(F37)&gt;0,G37/F37,"")</f>
        <v/>
      </c>
      <c r="K37" s="10">
        <f>IF(N(G37)&gt;0,E37/G37,"")</f>
        <v/>
      </c>
      <c r="L37" s="10">
        <f>IF(N(H37)&gt;0,E37/H37,"")</f>
        <v/>
      </c>
      <c r="M37" s="11">
        <f>IF(N(E37)&gt;0,I37/E37,"")</f>
        <v/>
      </c>
      <c r="N37" s="10">
        <f>IF(AND(E37="",I37=""),"",N(I37)*(1-COM-COM_SHOP)-N(E37)*(1+IMP_META))</f>
        <v/>
      </c>
      <c r="O37" s="37" t="n"/>
    </row>
    <row r="38">
      <c r="A38" s="36" t="n"/>
      <c r="B38" s="37" t="n"/>
      <c r="C38" s="37" t="n"/>
      <c r="D38" s="38">
        <f>IF(C38="","",IFERROR(INDEX(Anuncios!$B$6:$B$65,MATCH(C38,Anuncios!$A$6:$A$65,0)),"(no está en Anuncios)"))</f>
        <v/>
      </c>
      <c r="E38" s="39" t="n"/>
      <c r="F38" s="40" t="n"/>
      <c r="G38" s="40" t="n"/>
      <c r="H38" s="40" t="n"/>
      <c r="I38" s="39" t="n"/>
      <c r="J38" s="13">
        <f>IF(N(F38)&gt;0,G38/F38,"")</f>
        <v/>
      </c>
      <c r="K38" s="10">
        <f>IF(N(G38)&gt;0,E38/G38,"")</f>
        <v/>
      </c>
      <c r="L38" s="10">
        <f>IF(N(H38)&gt;0,E38/H38,"")</f>
        <v/>
      </c>
      <c r="M38" s="11">
        <f>IF(N(E38)&gt;0,I38/E38,"")</f>
        <v/>
      </c>
      <c r="N38" s="10">
        <f>IF(AND(E38="",I38=""),"",N(I38)*(1-COM-COM_SHOP)-N(E38)*(1+IMP_META))</f>
        <v/>
      </c>
      <c r="O38" s="37" t="n"/>
    </row>
    <row r="39">
      <c r="A39" s="36" t="n"/>
      <c r="B39" s="37" t="n"/>
      <c r="C39" s="37" t="n"/>
      <c r="D39" s="38">
        <f>IF(C39="","",IFERROR(INDEX(Anuncios!$B$6:$B$65,MATCH(C39,Anuncios!$A$6:$A$65,0)),"(no está en Anuncios)"))</f>
        <v/>
      </c>
      <c r="E39" s="39" t="n"/>
      <c r="F39" s="40" t="n"/>
      <c r="G39" s="40" t="n"/>
      <c r="H39" s="40" t="n"/>
      <c r="I39" s="39" t="n"/>
      <c r="J39" s="13">
        <f>IF(N(F39)&gt;0,G39/F39,"")</f>
        <v/>
      </c>
      <c r="K39" s="10">
        <f>IF(N(G39)&gt;0,E39/G39,"")</f>
        <v/>
      </c>
      <c r="L39" s="10">
        <f>IF(N(H39)&gt;0,E39/H39,"")</f>
        <v/>
      </c>
      <c r="M39" s="11">
        <f>IF(N(E39)&gt;0,I39/E39,"")</f>
        <v/>
      </c>
      <c r="N39" s="10">
        <f>IF(AND(E39="",I39=""),"",N(I39)*(1-COM-COM_SHOP)-N(E39)*(1+IMP_META))</f>
        <v/>
      </c>
      <c r="O39" s="37" t="n"/>
    </row>
    <row r="40">
      <c r="A40" s="36" t="n"/>
      <c r="B40" s="37" t="n"/>
      <c r="C40" s="37" t="n"/>
      <c r="D40" s="38">
        <f>IF(C40="","",IFERROR(INDEX(Anuncios!$B$6:$B$65,MATCH(C40,Anuncios!$A$6:$A$65,0)),"(no está en Anuncios)"))</f>
        <v/>
      </c>
      <c r="E40" s="39" t="n"/>
      <c r="F40" s="40" t="n"/>
      <c r="G40" s="40" t="n"/>
      <c r="H40" s="40" t="n"/>
      <c r="I40" s="39" t="n"/>
      <c r="J40" s="13">
        <f>IF(N(F40)&gt;0,G40/F40,"")</f>
        <v/>
      </c>
      <c r="K40" s="10">
        <f>IF(N(G40)&gt;0,E40/G40,"")</f>
        <v/>
      </c>
      <c r="L40" s="10">
        <f>IF(N(H40)&gt;0,E40/H40,"")</f>
        <v/>
      </c>
      <c r="M40" s="11">
        <f>IF(N(E40)&gt;0,I40/E40,"")</f>
        <v/>
      </c>
      <c r="N40" s="10">
        <f>IF(AND(E40="",I40=""),"",N(I40)*(1-COM-COM_SHOP)-N(E40)*(1+IMP_META))</f>
        <v/>
      </c>
      <c r="O40" s="37" t="n"/>
    </row>
    <row r="41">
      <c r="A41" s="36" t="n"/>
      <c r="B41" s="37" t="n"/>
      <c r="C41" s="37" t="n"/>
      <c r="D41" s="38">
        <f>IF(C41="","",IFERROR(INDEX(Anuncios!$B$6:$B$65,MATCH(C41,Anuncios!$A$6:$A$65,0)),"(no está en Anuncios)"))</f>
        <v/>
      </c>
      <c r="E41" s="39" t="n"/>
      <c r="F41" s="40" t="n"/>
      <c r="G41" s="40" t="n"/>
      <c r="H41" s="40" t="n"/>
      <c r="I41" s="39" t="n"/>
      <c r="J41" s="13">
        <f>IF(N(F41)&gt;0,G41/F41,"")</f>
        <v/>
      </c>
      <c r="K41" s="10">
        <f>IF(N(G41)&gt;0,E41/G41,"")</f>
        <v/>
      </c>
      <c r="L41" s="10">
        <f>IF(N(H41)&gt;0,E41/H41,"")</f>
        <v/>
      </c>
      <c r="M41" s="11">
        <f>IF(N(E41)&gt;0,I41/E41,"")</f>
        <v/>
      </c>
      <c r="N41" s="10">
        <f>IF(AND(E41="",I41=""),"",N(I41)*(1-COM-COM_SHOP)-N(E41)*(1+IMP_META))</f>
        <v/>
      </c>
      <c r="O41" s="37" t="n"/>
    </row>
    <row r="42">
      <c r="A42" s="36" t="n"/>
      <c r="B42" s="37" t="n"/>
      <c r="C42" s="37" t="n"/>
      <c r="D42" s="38">
        <f>IF(C42="","",IFERROR(INDEX(Anuncios!$B$6:$B$65,MATCH(C42,Anuncios!$A$6:$A$65,0)),"(no está en Anuncios)"))</f>
        <v/>
      </c>
      <c r="E42" s="39" t="n"/>
      <c r="F42" s="40" t="n"/>
      <c r="G42" s="40" t="n"/>
      <c r="H42" s="40" t="n"/>
      <c r="I42" s="39" t="n"/>
      <c r="J42" s="13">
        <f>IF(N(F42)&gt;0,G42/F42,"")</f>
        <v/>
      </c>
      <c r="K42" s="10">
        <f>IF(N(G42)&gt;0,E42/G42,"")</f>
        <v/>
      </c>
      <c r="L42" s="10">
        <f>IF(N(H42)&gt;0,E42/H42,"")</f>
        <v/>
      </c>
      <c r="M42" s="11">
        <f>IF(N(E42)&gt;0,I42/E42,"")</f>
        <v/>
      </c>
      <c r="N42" s="10">
        <f>IF(AND(E42="",I42=""),"",N(I42)*(1-COM-COM_SHOP)-N(E42)*(1+IMP_META))</f>
        <v/>
      </c>
      <c r="O42" s="37" t="n"/>
    </row>
    <row r="43">
      <c r="A43" s="36" t="n"/>
      <c r="B43" s="37" t="n"/>
      <c r="C43" s="37" t="n"/>
      <c r="D43" s="38">
        <f>IF(C43="","",IFERROR(INDEX(Anuncios!$B$6:$B$65,MATCH(C43,Anuncios!$A$6:$A$65,0)),"(no está en Anuncios)"))</f>
        <v/>
      </c>
      <c r="E43" s="39" t="n"/>
      <c r="F43" s="40" t="n"/>
      <c r="G43" s="40" t="n"/>
      <c r="H43" s="40" t="n"/>
      <c r="I43" s="39" t="n"/>
      <c r="J43" s="13">
        <f>IF(N(F43)&gt;0,G43/F43,"")</f>
        <v/>
      </c>
      <c r="K43" s="10">
        <f>IF(N(G43)&gt;0,E43/G43,"")</f>
        <v/>
      </c>
      <c r="L43" s="10">
        <f>IF(N(H43)&gt;0,E43/H43,"")</f>
        <v/>
      </c>
      <c r="M43" s="11">
        <f>IF(N(E43)&gt;0,I43/E43,"")</f>
        <v/>
      </c>
      <c r="N43" s="10">
        <f>IF(AND(E43="",I43=""),"",N(I43)*(1-COM-COM_SHOP)-N(E43)*(1+IMP_META))</f>
        <v/>
      </c>
      <c r="O43" s="37" t="n"/>
    </row>
    <row r="44">
      <c r="A44" s="36" t="n"/>
      <c r="B44" s="37" t="n"/>
      <c r="C44" s="37" t="n"/>
      <c r="D44" s="38">
        <f>IF(C44="","",IFERROR(INDEX(Anuncios!$B$6:$B$65,MATCH(C44,Anuncios!$A$6:$A$65,0)),"(no está en Anuncios)"))</f>
        <v/>
      </c>
      <c r="E44" s="39" t="n"/>
      <c r="F44" s="40" t="n"/>
      <c r="G44" s="40" t="n"/>
      <c r="H44" s="40" t="n"/>
      <c r="I44" s="39" t="n"/>
      <c r="J44" s="13">
        <f>IF(N(F44)&gt;0,G44/F44,"")</f>
        <v/>
      </c>
      <c r="K44" s="10">
        <f>IF(N(G44)&gt;0,E44/G44,"")</f>
        <v/>
      </c>
      <c r="L44" s="10">
        <f>IF(N(H44)&gt;0,E44/H44,"")</f>
        <v/>
      </c>
      <c r="M44" s="11">
        <f>IF(N(E44)&gt;0,I44/E44,"")</f>
        <v/>
      </c>
      <c r="N44" s="10">
        <f>IF(AND(E44="",I44=""),"",N(I44)*(1-COM-COM_SHOP)-N(E44)*(1+IMP_META))</f>
        <v/>
      </c>
      <c r="O44" s="37" t="n"/>
    </row>
    <row r="45">
      <c r="A45" s="36" t="n"/>
      <c r="B45" s="37" t="n"/>
      <c r="C45" s="37" t="n"/>
      <c r="D45" s="38">
        <f>IF(C45="","",IFERROR(INDEX(Anuncios!$B$6:$B$65,MATCH(C45,Anuncios!$A$6:$A$65,0)),"(no está en Anuncios)"))</f>
        <v/>
      </c>
      <c r="E45" s="39" t="n"/>
      <c r="F45" s="40" t="n"/>
      <c r="G45" s="40" t="n"/>
      <c r="H45" s="40" t="n"/>
      <c r="I45" s="39" t="n"/>
      <c r="J45" s="13">
        <f>IF(N(F45)&gt;0,G45/F45,"")</f>
        <v/>
      </c>
      <c r="K45" s="10">
        <f>IF(N(G45)&gt;0,E45/G45,"")</f>
        <v/>
      </c>
      <c r="L45" s="10">
        <f>IF(N(H45)&gt;0,E45/H45,"")</f>
        <v/>
      </c>
      <c r="M45" s="11">
        <f>IF(N(E45)&gt;0,I45/E45,"")</f>
        <v/>
      </c>
      <c r="N45" s="10">
        <f>IF(AND(E45="",I45=""),"",N(I45)*(1-COM-COM_SHOP)-N(E45)*(1+IMP_META))</f>
        <v/>
      </c>
      <c r="O45" s="37" t="n"/>
    </row>
    <row r="46">
      <c r="A46" s="36" t="n"/>
      <c r="B46" s="37" t="n"/>
      <c r="C46" s="37" t="n"/>
      <c r="D46" s="38">
        <f>IF(C46="","",IFERROR(INDEX(Anuncios!$B$6:$B$65,MATCH(C46,Anuncios!$A$6:$A$65,0)),"(no está en Anuncios)"))</f>
        <v/>
      </c>
      <c r="E46" s="39" t="n"/>
      <c r="F46" s="40" t="n"/>
      <c r="G46" s="40" t="n"/>
      <c r="H46" s="40" t="n"/>
      <c r="I46" s="39" t="n"/>
      <c r="J46" s="13">
        <f>IF(N(F46)&gt;0,G46/F46,"")</f>
        <v/>
      </c>
      <c r="K46" s="10">
        <f>IF(N(G46)&gt;0,E46/G46,"")</f>
        <v/>
      </c>
      <c r="L46" s="10">
        <f>IF(N(H46)&gt;0,E46/H46,"")</f>
        <v/>
      </c>
      <c r="M46" s="11">
        <f>IF(N(E46)&gt;0,I46/E46,"")</f>
        <v/>
      </c>
      <c r="N46" s="10">
        <f>IF(AND(E46="",I46=""),"",N(I46)*(1-COM-COM_SHOP)-N(E46)*(1+IMP_META))</f>
        <v/>
      </c>
      <c r="O46" s="37" t="n"/>
    </row>
    <row r="47">
      <c r="A47" s="36" t="n"/>
      <c r="B47" s="37" t="n"/>
      <c r="C47" s="37" t="n"/>
      <c r="D47" s="38">
        <f>IF(C47="","",IFERROR(INDEX(Anuncios!$B$6:$B$65,MATCH(C47,Anuncios!$A$6:$A$65,0)),"(no está en Anuncios)"))</f>
        <v/>
      </c>
      <c r="E47" s="39" t="n"/>
      <c r="F47" s="40" t="n"/>
      <c r="G47" s="40" t="n"/>
      <c r="H47" s="40" t="n"/>
      <c r="I47" s="39" t="n"/>
      <c r="J47" s="13">
        <f>IF(N(F47)&gt;0,G47/F47,"")</f>
        <v/>
      </c>
      <c r="K47" s="10">
        <f>IF(N(G47)&gt;0,E47/G47,"")</f>
        <v/>
      </c>
      <c r="L47" s="10">
        <f>IF(N(H47)&gt;0,E47/H47,"")</f>
        <v/>
      </c>
      <c r="M47" s="11">
        <f>IF(N(E47)&gt;0,I47/E47,"")</f>
        <v/>
      </c>
      <c r="N47" s="10">
        <f>IF(AND(E47="",I47=""),"",N(I47)*(1-COM-COM_SHOP)-N(E47)*(1+IMP_META))</f>
        <v/>
      </c>
      <c r="O47" s="37" t="n"/>
    </row>
    <row r="48">
      <c r="A48" s="36" t="n"/>
      <c r="B48" s="37" t="n"/>
      <c r="C48" s="37" t="n"/>
      <c r="D48" s="38">
        <f>IF(C48="","",IFERROR(INDEX(Anuncios!$B$6:$B$65,MATCH(C48,Anuncios!$A$6:$A$65,0)),"(no está en Anuncios)"))</f>
        <v/>
      </c>
      <c r="E48" s="39" t="n"/>
      <c r="F48" s="40" t="n"/>
      <c r="G48" s="40" t="n"/>
      <c r="H48" s="40" t="n"/>
      <c r="I48" s="39" t="n"/>
      <c r="J48" s="13">
        <f>IF(N(F48)&gt;0,G48/F48,"")</f>
        <v/>
      </c>
      <c r="K48" s="10">
        <f>IF(N(G48)&gt;0,E48/G48,"")</f>
        <v/>
      </c>
      <c r="L48" s="10">
        <f>IF(N(H48)&gt;0,E48/H48,"")</f>
        <v/>
      </c>
      <c r="M48" s="11">
        <f>IF(N(E48)&gt;0,I48/E48,"")</f>
        <v/>
      </c>
      <c r="N48" s="10">
        <f>IF(AND(E48="",I48=""),"",N(I48)*(1-COM-COM_SHOP)-N(E48)*(1+IMP_META))</f>
        <v/>
      </c>
      <c r="O48" s="37" t="n"/>
    </row>
    <row r="49">
      <c r="A49" s="36" t="n"/>
      <c r="B49" s="37" t="n"/>
      <c r="C49" s="37" t="n"/>
      <c r="D49" s="38">
        <f>IF(C49="","",IFERROR(INDEX(Anuncios!$B$6:$B$65,MATCH(C49,Anuncios!$A$6:$A$65,0)),"(no está en Anuncios)"))</f>
        <v/>
      </c>
      <c r="E49" s="39" t="n"/>
      <c r="F49" s="40" t="n"/>
      <c r="G49" s="40" t="n"/>
      <c r="H49" s="40" t="n"/>
      <c r="I49" s="39" t="n"/>
      <c r="J49" s="13">
        <f>IF(N(F49)&gt;0,G49/F49,"")</f>
        <v/>
      </c>
      <c r="K49" s="10">
        <f>IF(N(G49)&gt;0,E49/G49,"")</f>
        <v/>
      </c>
      <c r="L49" s="10">
        <f>IF(N(H49)&gt;0,E49/H49,"")</f>
        <v/>
      </c>
      <c r="M49" s="11">
        <f>IF(N(E49)&gt;0,I49/E49,"")</f>
        <v/>
      </c>
      <c r="N49" s="10">
        <f>IF(AND(E49="",I49=""),"",N(I49)*(1-COM-COM_SHOP)-N(E49)*(1+IMP_META))</f>
        <v/>
      </c>
      <c r="O49" s="37" t="n"/>
    </row>
    <row r="50">
      <c r="A50" s="36" t="n"/>
      <c r="B50" s="37" t="n"/>
      <c r="C50" s="37" t="n"/>
      <c r="D50" s="38">
        <f>IF(C50="","",IFERROR(INDEX(Anuncios!$B$6:$B$65,MATCH(C50,Anuncios!$A$6:$A$65,0)),"(no está en Anuncios)"))</f>
        <v/>
      </c>
      <c r="E50" s="39" t="n"/>
      <c r="F50" s="40" t="n"/>
      <c r="G50" s="40" t="n"/>
      <c r="H50" s="40" t="n"/>
      <c r="I50" s="39" t="n"/>
      <c r="J50" s="13">
        <f>IF(N(F50)&gt;0,G50/F50,"")</f>
        <v/>
      </c>
      <c r="K50" s="10">
        <f>IF(N(G50)&gt;0,E50/G50,"")</f>
        <v/>
      </c>
      <c r="L50" s="10">
        <f>IF(N(H50)&gt;0,E50/H50,"")</f>
        <v/>
      </c>
      <c r="M50" s="11">
        <f>IF(N(E50)&gt;0,I50/E50,"")</f>
        <v/>
      </c>
      <c r="N50" s="10">
        <f>IF(AND(E50="",I50=""),"",N(I50)*(1-COM-COM_SHOP)-N(E50)*(1+IMP_META))</f>
        <v/>
      </c>
      <c r="O50" s="37" t="n"/>
    </row>
    <row r="51">
      <c r="A51" s="36" t="n"/>
      <c r="B51" s="37" t="n"/>
      <c r="C51" s="37" t="n"/>
      <c r="D51" s="38">
        <f>IF(C51="","",IFERROR(INDEX(Anuncios!$B$6:$B$65,MATCH(C51,Anuncios!$A$6:$A$65,0)),"(no está en Anuncios)"))</f>
        <v/>
      </c>
      <c r="E51" s="39" t="n"/>
      <c r="F51" s="40" t="n"/>
      <c r="G51" s="40" t="n"/>
      <c r="H51" s="40" t="n"/>
      <c r="I51" s="39" t="n"/>
      <c r="J51" s="13">
        <f>IF(N(F51)&gt;0,G51/F51,"")</f>
        <v/>
      </c>
      <c r="K51" s="10">
        <f>IF(N(G51)&gt;0,E51/G51,"")</f>
        <v/>
      </c>
      <c r="L51" s="10">
        <f>IF(N(H51)&gt;0,E51/H51,"")</f>
        <v/>
      </c>
      <c r="M51" s="11">
        <f>IF(N(E51)&gt;0,I51/E51,"")</f>
        <v/>
      </c>
      <c r="N51" s="10">
        <f>IF(AND(E51="",I51=""),"",N(I51)*(1-COM-COM_SHOP)-N(E51)*(1+IMP_META))</f>
        <v/>
      </c>
      <c r="O51" s="37" t="n"/>
    </row>
    <row r="52">
      <c r="A52" s="36" t="n"/>
      <c r="B52" s="37" t="n"/>
      <c r="C52" s="37" t="n"/>
      <c r="D52" s="38">
        <f>IF(C52="","",IFERROR(INDEX(Anuncios!$B$6:$B$65,MATCH(C52,Anuncios!$A$6:$A$65,0)),"(no está en Anuncios)"))</f>
        <v/>
      </c>
      <c r="E52" s="39" t="n"/>
      <c r="F52" s="40" t="n"/>
      <c r="G52" s="40" t="n"/>
      <c r="H52" s="40" t="n"/>
      <c r="I52" s="39" t="n"/>
      <c r="J52" s="13">
        <f>IF(N(F52)&gt;0,G52/F52,"")</f>
        <v/>
      </c>
      <c r="K52" s="10">
        <f>IF(N(G52)&gt;0,E52/G52,"")</f>
        <v/>
      </c>
      <c r="L52" s="10">
        <f>IF(N(H52)&gt;0,E52/H52,"")</f>
        <v/>
      </c>
      <c r="M52" s="11">
        <f>IF(N(E52)&gt;0,I52/E52,"")</f>
        <v/>
      </c>
      <c r="N52" s="10">
        <f>IF(AND(E52="",I52=""),"",N(I52)*(1-COM-COM_SHOP)-N(E52)*(1+IMP_META))</f>
        <v/>
      </c>
      <c r="O52" s="37" t="n"/>
    </row>
    <row r="53">
      <c r="A53" s="36" t="n"/>
      <c r="B53" s="37" t="n"/>
      <c r="C53" s="37" t="n"/>
      <c r="D53" s="38">
        <f>IF(C53="","",IFERROR(INDEX(Anuncios!$B$6:$B$65,MATCH(C53,Anuncios!$A$6:$A$65,0)),"(no está en Anuncios)"))</f>
        <v/>
      </c>
      <c r="E53" s="39" t="n"/>
      <c r="F53" s="40" t="n"/>
      <c r="G53" s="40" t="n"/>
      <c r="H53" s="40" t="n"/>
      <c r="I53" s="39" t="n"/>
      <c r="J53" s="13">
        <f>IF(N(F53)&gt;0,G53/F53,"")</f>
        <v/>
      </c>
      <c r="K53" s="10">
        <f>IF(N(G53)&gt;0,E53/G53,"")</f>
        <v/>
      </c>
      <c r="L53" s="10">
        <f>IF(N(H53)&gt;0,E53/H53,"")</f>
        <v/>
      </c>
      <c r="M53" s="11">
        <f>IF(N(E53)&gt;0,I53/E53,"")</f>
        <v/>
      </c>
      <c r="N53" s="10">
        <f>IF(AND(E53="",I53=""),"",N(I53)*(1-COM-COM_SHOP)-N(E53)*(1+IMP_META))</f>
        <v/>
      </c>
      <c r="O53" s="37" t="n"/>
    </row>
    <row r="54">
      <c r="A54" s="36" t="n"/>
      <c r="B54" s="37" t="n"/>
      <c r="C54" s="37" t="n"/>
      <c r="D54" s="38">
        <f>IF(C54="","",IFERROR(INDEX(Anuncios!$B$6:$B$65,MATCH(C54,Anuncios!$A$6:$A$65,0)),"(no está en Anuncios)"))</f>
        <v/>
      </c>
      <c r="E54" s="39" t="n"/>
      <c r="F54" s="40" t="n"/>
      <c r="G54" s="40" t="n"/>
      <c r="H54" s="40" t="n"/>
      <c r="I54" s="39" t="n"/>
      <c r="J54" s="13">
        <f>IF(N(F54)&gt;0,G54/F54,"")</f>
        <v/>
      </c>
      <c r="K54" s="10">
        <f>IF(N(G54)&gt;0,E54/G54,"")</f>
        <v/>
      </c>
      <c r="L54" s="10">
        <f>IF(N(H54)&gt;0,E54/H54,"")</f>
        <v/>
      </c>
      <c r="M54" s="11">
        <f>IF(N(E54)&gt;0,I54/E54,"")</f>
        <v/>
      </c>
      <c r="N54" s="10">
        <f>IF(AND(E54="",I54=""),"",N(I54)*(1-COM-COM_SHOP)-N(E54)*(1+IMP_META))</f>
        <v/>
      </c>
      <c r="O54" s="37" t="n"/>
    </row>
    <row r="55">
      <c r="A55" s="36" t="n"/>
      <c r="B55" s="37" t="n"/>
      <c r="C55" s="37" t="n"/>
      <c r="D55" s="38">
        <f>IF(C55="","",IFERROR(INDEX(Anuncios!$B$6:$B$65,MATCH(C55,Anuncios!$A$6:$A$65,0)),"(no está en Anuncios)"))</f>
        <v/>
      </c>
      <c r="E55" s="39" t="n"/>
      <c r="F55" s="40" t="n"/>
      <c r="G55" s="40" t="n"/>
      <c r="H55" s="40" t="n"/>
      <c r="I55" s="39" t="n"/>
      <c r="J55" s="13">
        <f>IF(N(F55)&gt;0,G55/F55,"")</f>
        <v/>
      </c>
      <c r="K55" s="10">
        <f>IF(N(G55)&gt;0,E55/G55,"")</f>
        <v/>
      </c>
      <c r="L55" s="10">
        <f>IF(N(H55)&gt;0,E55/H55,"")</f>
        <v/>
      </c>
      <c r="M55" s="11">
        <f>IF(N(E55)&gt;0,I55/E55,"")</f>
        <v/>
      </c>
      <c r="N55" s="10">
        <f>IF(AND(E55="",I55=""),"",N(I55)*(1-COM-COM_SHOP)-N(E55)*(1+IMP_META))</f>
        <v/>
      </c>
      <c r="O55" s="37" t="n"/>
    </row>
    <row r="56">
      <c r="A56" s="36" t="n"/>
      <c r="B56" s="37" t="n"/>
      <c r="C56" s="37" t="n"/>
      <c r="D56" s="38">
        <f>IF(C56="","",IFERROR(INDEX(Anuncios!$B$6:$B$65,MATCH(C56,Anuncios!$A$6:$A$65,0)),"(no está en Anuncios)"))</f>
        <v/>
      </c>
      <c r="E56" s="39" t="n"/>
      <c r="F56" s="40" t="n"/>
      <c r="G56" s="40" t="n"/>
      <c r="H56" s="40" t="n"/>
      <c r="I56" s="39" t="n"/>
      <c r="J56" s="13">
        <f>IF(N(F56)&gt;0,G56/F56,"")</f>
        <v/>
      </c>
      <c r="K56" s="10">
        <f>IF(N(G56)&gt;0,E56/G56,"")</f>
        <v/>
      </c>
      <c r="L56" s="10">
        <f>IF(N(H56)&gt;0,E56/H56,"")</f>
        <v/>
      </c>
      <c r="M56" s="11">
        <f>IF(N(E56)&gt;0,I56/E56,"")</f>
        <v/>
      </c>
      <c r="N56" s="10">
        <f>IF(AND(E56="",I56=""),"",N(I56)*(1-COM-COM_SHOP)-N(E56)*(1+IMP_META))</f>
        <v/>
      </c>
      <c r="O56" s="37" t="n"/>
    </row>
    <row r="57">
      <c r="A57" s="36" t="n"/>
      <c r="B57" s="37" t="n"/>
      <c r="C57" s="37" t="n"/>
      <c r="D57" s="38">
        <f>IF(C57="","",IFERROR(INDEX(Anuncios!$B$6:$B$65,MATCH(C57,Anuncios!$A$6:$A$65,0)),"(no está en Anuncios)"))</f>
        <v/>
      </c>
      <c r="E57" s="39" t="n"/>
      <c r="F57" s="40" t="n"/>
      <c r="G57" s="40" t="n"/>
      <c r="H57" s="40" t="n"/>
      <c r="I57" s="39" t="n"/>
      <c r="J57" s="13">
        <f>IF(N(F57)&gt;0,G57/F57,"")</f>
        <v/>
      </c>
      <c r="K57" s="10">
        <f>IF(N(G57)&gt;0,E57/G57,"")</f>
        <v/>
      </c>
      <c r="L57" s="10">
        <f>IF(N(H57)&gt;0,E57/H57,"")</f>
        <v/>
      </c>
      <c r="M57" s="11">
        <f>IF(N(E57)&gt;0,I57/E57,"")</f>
        <v/>
      </c>
      <c r="N57" s="10">
        <f>IF(AND(E57="",I57=""),"",N(I57)*(1-COM-COM_SHOP)-N(E57)*(1+IMP_META))</f>
        <v/>
      </c>
      <c r="O57" s="37" t="n"/>
    </row>
    <row r="58">
      <c r="A58" s="36" t="n"/>
      <c r="B58" s="37" t="n"/>
      <c r="C58" s="37" t="n"/>
      <c r="D58" s="38">
        <f>IF(C58="","",IFERROR(INDEX(Anuncios!$B$6:$B$65,MATCH(C58,Anuncios!$A$6:$A$65,0)),"(no está en Anuncios)"))</f>
        <v/>
      </c>
      <c r="E58" s="39" t="n"/>
      <c r="F58" s="40" t="n"/>
      <c r="G58" s="40" t="n"/>
      <c r="H58" s="40" t="n"/>
      <c r="I58" s="39" t="n"/>
      <c r="J58" s="13">
        <f>IF(N(F58)&gt;0,G58/F58,"")</f>
        <v/>
      </c>
      <c r="K58" s="10">
        <f>IF(N(G58)&gt;0,E58/G58,"")</f>
        <v/>
      </c>
      <c r="L58" s="10">
        <f>IF(N(H58)&gt;0,E58/H58,"")</f>
        <v/>
      </c>
      <c r="M58" s="11">
        <f>IF(N(E58)&gt;0,I58/E58,"")</f>
        <v/>
      </c>
      <c r="N58" s="10">
        <f>IF(AND(E58="",I58=""),"",N(I58)*(1-COM-COM_SHOP)-N(E58)*(1+IMP_META))</f>
        <v/>
      </c>
      <c r="O58" s="37" t="n"/>
    </row>
    <row r="59">
      <c r="A59" s="36" t="n"/>
      <c r="B59" s="37" t="n"/>
      <c r="C59" s="37" t="n"/>
      <c r="D59" s="38">
        <f>IF(C59="","",IFERROR(INDEX(Anuncios!$B$6:$B$65,MATCH(C59,Anuncios!$A$6:$A$65,0)),"(no está en Anuncios)"))</f>
        <v/>
      </c>
      <c r="E59" s="39" t="n"/>
      <c r="F59" s="40" t="n"/>
      <c r="G59" s="40" t="n"/>
      <c r="H59" s="40" t="n"/>
      <c r="I59" s="39" t="n"/>
      <c r="J59" s="13">
        <f>IF(N(F59)&gt;0,G59/F59,"")</f>
        <v/>
      </c>
      <c r="K59" s="10">
        <f>IF(N(G59)&gt;0,E59/G59,"")</f>
        <v/>
      </c>
      <c r="L59" s="10">
        <f>IF(N(H59)&gt;0,E59/H59,"")</f>
        <v/>
      </c>
      <c r="M59" s="11">
        <f>IF(N(E59)&gt;0,I59/E59,"")</f>
        <v/>
      </c>
      <c r="N59" s="10">
        <f>IF(AND(E59="",I59=""),"",N(I59)*(1-COM-COM_SHOP)-N(E59)*(1+IMP_META))</f>
        <v/>
      </c>
      <c r="O59" s="37" t="n"/>
    </row>
    <row r="60">
      <c r="A60" s="36" t="n"/>
      <c r="B60" s="37" t="n"/>
      <c r="C60" s="37" t="n"/>
      <c r="D60" s="38">
        <f>IF(C60="","",IFERROR(INDEX(Anuncios!$B$6:$B$65,MATCH(C60,Anuncios!$A$6:$A$65,0)),"(no está en Anuncios)"))</f>
        <v/>
      </c>
      <c r="E60" s="39" t="n"/>
      <c r="F60" s="40" t="n"/>
      <c r="G60" s="40" t="n"/>
      <c r="H60" s="40" t="n"/>
      <c r="I60" s="39" t="n"/>
      <c r="J60" s="13">
        <f>IF(N(F60)&gt;0,G60/F60,"")</f>
        <v/>
      </c>
      <c r="K60" s="10">
        <f>IF(N(G60)&gt;0,E60/G60,"")</f>
        <v/>
      </c>
      <c r="L60" s="10">
        <f>IF(N(H60)&gt;0,E60/H60,"")</f>
        <v/>
      </c>
      <c r="M60" s="11">
        <f>IF(N(E60)&gt;0,I60/E60,"")</f>
        <v/>
      </c>
      <c r="N60" s="10">
        <f>IF(AND(E60="",I60=""),"",N(I60)*(1-COM-COM_SHOP)-N(E60)*(1+IMP_META))</f>
        <v/>
      </c>
      <c r="O60" s="37" t="n"/>
    </row>
    <row r="61">
      <c r="A61" s="36" t="n"/>
      <c r="B61" s="37" t="n"/>
      <c r="C61" s="37" t="n"/>
      <c r="D61" s="38">
        <f>IF(C61="","",IFERROR(INDEX(Anuncios!$B$6:$B$65,MATCH(C61,Anuncios!$A$6:$A$65,0)),"(no está en Anuncios)"))</f>
        <v/>
      </c>
      <c r="E61" s="39" t="n"/>
      <c r="F61" s="40" t="n"/>
      <c r="G61" s="40" t="n"/>
      <c r="H61" s="40" t="n"/>
      <c r="I61" s="39" t="n"/>
      <c r="J61" s="13">
        <f>IF(N(F61)&gt;0,G61/F61,"")</f>
        <v/>
      </c>
      <c r="K61" s="10">
        <f>IF(N(G61)&gt;0,E61/G61,"")</f>
        <v/>
      </c>
      <c r="L61" s="10">
        <f>IF(N(H61)&gt;0,E61/H61,"")</f>
        <v/>
      </c>
      <c r="M61" s="11">
        <f>IF(N(E61)&gt;0,I61/E61,"")</f>
        <v/>
      </c>
      <c r="N61" s="10">
        <f>IF(AND(E61="",I61=""),"",N(I61)*(1-COM-COM_SHOP)-N(E61)*(1+IMP_META))</f>
        <v/>
      </c>
      <c r="O61" s="37" t="n"/>
    </row>
    <row r="62">
      <c r="A62" s="36" t="n"/>
      <c r="B62" s="37" t="n"/>
      <c r="C62" s="37" t="n"/>
      <c r="D62" s="38">
        <f>IF(C62="","",IFERROR(INDEX(Anuncios!$B$6:$B$65,MATCH(C62,Anuncios!$A$6:$A$65,0)),"(no está en Anuncios)"))</f>
        <v/>
      </c>
      <c r="E62" s="39" t="n"/>
      <c r="F62" s="40" t="n"/>
      <c r="G62" s="40" t="n"/>
      <c r="H62" s="40" t="n"/>
      <c r="I62" s="39" t="n"/>
      <c r="J62" s="13">
        <f>IF(N(F62)&gt;0,G62/F62,"")</f>
        <v/>
      </c>
      <c r="K62" s="10">
        <f>IF(N(G62)&gt;0,E62/G62,"")</f>
        <v/>
      </c>
      <c r="L62" s="10">
        <f>IF(N(H62)&gt;0,E62/H62,"")</f>
        <v/>
      </c>
      <c r="M62" s="11">
        <f>IF(N(E62)&gt;0,I62/E62,"")</f>
        <v/>
      </c>
      <c r="N62" s="10">
        <f>IF(AND(E62="",I62=""),"",N(I62)*(1-COM-COM_SHOP)-N(E62)*(1+IMP_META))</f>
        <v/>
      </c>
      <c r="O62" s="37" t="n"/>
    </row>
    <row r="63">
      <c r="A63" s="36" t="n"/>
      <c r="B63" s="37" t="n"/>
      <c r="C63" s="37" t="n"/>
      <c r="D63" s="38">
        <f>IF(C63="","",IFERROR(INDEX(Anuncios!$B$6:$B$65,MATCH(C63,Anuncios!$A$6:$A$65,0)),"(no está en Anuncios)"))</f>
        <v/>
      </c>
      <c r="E63" s="39" t="n"/>
      <c r="F63" s="40" t="n"/>
      <c r="G63" s="40" t="n"/>
      <c r="H63" s="40" t="n"/>
      <c r="I63" s="39" t="n"/>
      <c r="J63" s="13">
        <f>IF(N(F63)&gt;0,G63/F63,"")</f>
        <v/>
      </c>
      <c r="K63" s="10">
        <f>IF(N(G63)&gt;0,E63/G63,"")</f>
        <v/>
      </c>
      <c r="L63" s="10">
        <f>IF(N(H63)&gt;0,E63/H63,"")</f>
        <v/>
      </c>
      <c r="M63" s="11">
        <f>IF(N(E63)&gt;0,I63/E63,"")</f>
        <v/>
      </c>
      <c r="N63" s="10">
        <f>IF(AND(E63="",I63=""),"",N(I63)*(1-COM-COM_SHOP)-N(E63)*(1+IMP_META))</f>
        <v/>
      </c>
      <c r="O63" s="37" t="n"/>
    </row>
    <row r="64">
      <c r="A64" s="36" t="n"/>
      <c r="B64" s="37" t="n"/>
      <c r="C64" s="37" t="n"/>
      <c r="D64" s="38">
        <f>IF(C64="","",IFERROR(INDEX(Anuncios!$B$6:$B$65,MATCH(C64,Anuncios!$A$6:$A$65,0)),"(no está en Anuncios)"))</f>
        <v/>
      </c>
      <c r="E64" s="39" t="n"/>
      <c r="F64" s="40" t="n"/>
      <c r="G64" s="40" t="n"/>
      <c r="H64" s="40" t="n"/>
      <c r="I64" s="39" t="n"/>
      <c r="J64" s="13">
        <f>IF(N(F64)&gt;0,G64/F64,"")</f>
        <v/>
      </c>
      <c r="K64" s="10">
        <f>IF(N(G64)&gt;0,E64/G64,"")</f>
        <v/>
      </c>
      <c r="L64" s="10">
        <f>IF(N(H64)&gt;0,E64/H64,"")</f>
        <v/>
      </c>
      <c r="M64" s="11">
        <f>IF(N(E64)&gt;0,I64/E64,"")</f>
        <v/>
      </c>
      <c r="N64" s="10">
        <f>IF(AND(E64="",I64=""),"",N(I64)*(1-COM-COM_SHOP)-N(E64)*(1+IMP_META))</f>
        <v/>
      </c>
      <c r="O64" s="37" t="n"/>
    </row>
    <row r="65">
      <c r="A65" s="36" t="n"/>
      <c r="B65" s="37" t="n"/>
      <c r="C65" s="37" t="n"/>
      <c r="D65" s="38">
        <f>IF(C65="","",IFERROR(INDEX(Anuncios!$B$6:$B$65,MATCH(C65,Anuncios!$A$6:$A$65,0)),"(no está en Anuncios)"))</f>
        <v/>
      </c>
      <c r="E65" s="39" t="n"/>
      <c r="F65" s="40" t="n"/>
      <c r="G65" s="40" t="n"/>
      <c r="H65" s="40" t="n"/>
      <c r="I65" s="39" t="n"/>
      <c r="J65" s="13">
        <f>IF(N(F65)&gt;0,G65/F65,"")</f>
        <v/>
      </c>
      <c r="K65" s="10">
        <f>IF(N(G65)&gt;0,E65/G65,"")</f>
        <v/>
      </c>
      <c r="L65" s="10">
        <f>IF(N(H65)&gt;0,E65/H65,"")</f>
        <v/>
      </c>
      <c r="M65" s="11">
        <f>IF(N(E65)&gt;0,I65/E65,"")</f>
        <v/>
      </c>
      <c r="N65" s="10">
        <f>IF(AND(E65="",I65=""),"",N(I65)*(1-COM-COM_SHOP)-N(E65)*(1+IMP_META))</f>
        <v/>
      </c>
      <c r="O65" s="37" t="n"/>
    </row>
    <row r="66">
      <c r="A66" s="36" t="n"/>
      <c r="B66" s="37" t="n"/>
      <c r="C66" s="37" t="n"/>
      <c r="D66" s="38">
        <f>IF(C66="","",IFERROR(INDEX(Anuncios!$B$6:$B$65,MATCH(C66,Anuncios!$A$6:$A$65,0)),"(no está en Anuncios)"))</f>
        <v/>
      </c>
      <c r="E66" s="39" t="n"/>
      <c r="F66" s="40" t="n"/>
      <c r="G66" s="40" t="n"/>
      <c r="H66" s="40" t="n"/>
      <c r="I66" s="39" t="n"/>
      <c r="J66" s="13">
        <f>IF(N(F66)&gt;0,G66/F66,"")</f>
        <v/>
      </c>
      <c r="K66" s="10">
        <f>IF(N(G66)&gt;0,E66/G66,"")</f>
        <v/>
      </c>
      <c r="L66" s="10">
        <f>IF(N(H66)&gt;0,E66/H66,"")</f>
        <v/>
      </c>
      <c r="M66" s="11">
        <f>IF(N(E66)&gt;0,I66/E66,"")</f>
        <v/>
      </c>
      <c r="N66" s="10">
        <f>IF(AND(E66="",I66=""),"",N(I66)*(1-COM-COM_SHOP)-N(E66)*(1+IMP_META))</f>
        <v/>
      </c>
      <c r="O66" s="37" t="n"/>
    </row>
    <row r="67">
      <c r="A67" s="36" t="n"/>
      <c r="B67" s="37" t="n"/>
      <c r="C67" s="37" t="n"/>
      <c r="D67" s="38">
        <f>IF(C67="","",IFERROR(INDEX(Anuncios!$B$6:$B$65,MATCH(C67,Anuncios!$A$6:$A$65,0)),"(no está en Anuncios)"))</f>
        <v/>
      </c>
      <c r="E67" s="39" t="n"/>
      <c r="F67" s="40" t="n"/>
      <c r="G67" s="40" t="n"/>
      <c r="H67" s="40" t="n"/>
      <c r="I67" s="39" t="n"/>
      <c r="J67" s="13">
        <f>IF(N(F67)&gt;0,G67/F67,"")</f>
        <v/>
      </c>
      <c r="K67" s="10">
        <f>IF(N(G67)&gt;0,E67/G67,"")</f>
        <v/>
      </c>
      <c r="L67" s="10">
        <f>IF(N(H67)&gt;0,E67/H67,"")</f>
        <v/>
      </c>
      <c r="M67" s="11">
        <f>IF(N(E67)&gt;0,I67/E67,"")</f>
        <v/>
      </c>
      <c r="N67" s="10">
        <f>IF(AND(E67="",I67=""),"",N(I67)*(1-COM-COM_SHOP)-N(E67)*(1+IMP_META))</f>
        <v/>
      </c>
      <c r="O67" s="37" t="n"/>
    </row>
    <row r="68">
      <c r="A68" s="36" t="n"/>
      <c r="B68" s="37" t="n"/>
      <c r="C68" s="37" t="n"/>
      <c r="D68" s="38">
        <f>IF(C68="","",IFERROR(INDEX(Anuncios!$B$6:$B$65,MATCH(C68,Anuncios!$A$6:$A$65,0)),"(no está en Anuncios)"))</f>
        <v/>
      </c>
      <c r="E68" s="39" t="n"/>
      <c r="F68" s="40" t="n"/>
      <c r="G68" s="40" t="n"/>
      <c r="H68" s="40" t="n"/>
      <c r="I68" s="39" t="n"/>
      <c r="J68" s="13">
        <f>IF(N(F68)&gt;0,G68/F68,"")</f>
        <v/>
      </c>
      <c r="K68" s="10">
        <f>IF(N(G68)&gt;0,E68/G68,"")</f>
        <v/>
      </c>
      <c r="L68" s="10">
        <f>IF(N(H68)&gt;0,E68/H68,"")</f>
        <v/>
      </c>
      <c r="M68" s="11">
        <f>IF(N(E68)&gt;0,I68/E68,"")</f>
        <v/>
      </c>
      <c r="N68" s="10">
        <f>IF(AND(E68="",I68=""),"",N(I68)*(1-COM-COM_SHOP)-N(E68)*(1+IMP_META))</f>
        <v/>
      </c>
      <c r="O68" s="37" t="n"/>
    </row>
    <row r="69">
      <c r="A69" s="36" t="n"/>
      <c r="B69" s="37" t="n"/>
      <c r="C69" s="37" t="n"/>
      <c r="D69" s="38">
        <f>IF(C69="","",IFERROR(INDEX(Anuncios!$B$6:$B$65,MATCH(C69,Anuncios!$A$6:$A$65,0)),"(no está en Anuncios)"))</f>
        <v/>
      </c>
      <c r="E69" s="39" t="n"/>
      <c r="F69" s="40" t="n"/>
      <c r="G69" s="40" t="n"/>
      <c r="H69" s="40" t="n"/>
      <c r="I69" s="39" t="n"/>
      <c r="J69" s="13">
        <f>IF(N(F69)&gt;0,G69/F69,"")</f>
        <v/>
      </c>
      <c r="K69" s="10">
        <f>IF(N(G69)&gt;0,E69/G69,"")</f>
        <v/>
      </c>
      <c r="L69" s="10">
        <f>IF(N(H69)&gt;0,E69/H69,"")</f>
        <v/>
      </c>
      <c r="M69" s="11">
        <f>IF(N(E69)&gt;0,I69/E69,"")</f>
        <v/>
      </c>
      <c r="N69" s="10">
        <f>IF(AND(E69="",I69=""),"",N(I69)*(1-COM-COM_SHOP)-N(E69)*(1+IMP_META))</f>
        <v/>
      </c>
      <c r="O69" s="37" t="n"/>
    </row>
    <row r="70">
      <c r="A70" s="36" t="n"/>
      <c r="B70" s="37" t="n"/>
      <c r="C70" s="37" t="n"/>
      <c r="D70" s="38">
        <f>IF(C70="","",IFERROR(INDEX(Anuncios!$B$6:$B$65,MATCH(C70,Anuncios!$A$6:$A$65,0)),"(no está en Anuncios)"))</f>
        <v/>
      </c>
      <c r="E70" s="39" t="n"/>
      <c r="F70" s="40" t="n"/>
      <c r="G70" s="40" t="n"/>
      <c r="H70" s="40" t="n"/>
      <c r="I70" s="39" t="n"/>
      <c r="J70" s="13">
        <f>IF(N(F70)&gt;0,G70/F70,"")</f>
        <v/>
      </c>
      <c r="K70" s="10">
        <f>IF(N(G70)&gt;0,E70/G70,"")</f>
        <v/>
      </c>
      <c r="L70" s="10">
        <f>IF(N(H70)&gt;0,E70/H70,"")</f>
        <v/>
      </c>
      <c r="M70" s="11">
        <f>IF(N(E70)&gt;0,I70/E70,"")</f>
        <v/>
      </c>
      <c r="N70" s="10">
        <f>IF(AND(E70="",I70=""),"",N(I70)*(1-COM-COM_SHOP)-N(E70)*(1+IMP_META))</f>
        <v/>
      </c>
      <c r="O70" s="37" t="n"/>
    </row>
    <row r="71">
      <c r="A71" s="36" t="n"/>
      <c r="B71" s="37" t="n"/>
      <c r="C71" s="37" t="n"/>
      <c r="D71" s="38">
        <f>IF(C71="","",IFERROR(INDEX(Anuncios!$B$6:$B$65,MATCH(C71,Anuncios!$A$6:$A$65,0)),"(no está en Anuncios)"))</f>
        <v/>
      </c>
      <c r="E71" s="39" t="n"/>
      <c r="F71" s="40" t="n"/>
      <c r="G71" s="40" t="n"/>
      <c r="H71" s="40" t="n"/>
      <c r="I71" s="39" t="n"/>
      <c r="J71" s="13">
        <f>IF(N(F71)&gt;0,G71/F71,"")</f>
        <v/>
      </c>
      <c r="K71" s="10">
        <f>IF(N(G71)&gt;0,E71/G71,"")</f>
        <v/>
      </c>
      <c r="L71" s="10">
        <f>IF(N(H71)&gt;0,E71/H71,"")</f>
        <v/>
      </c>
      <c r="M71" s="11">
        <f>IF(N(E71)&gt;0,I71/E71,"")</f>
        <v/>
      </c>
      <c r="N71" s="10">
        <f>IF(AND(E71="",I71=""),"",N(I71)*(1-COM-COM_SHOP)-N(E71)*(1+IMP_META))</f>
        <v/>
      </c>
      <c r="O71" s="37" t="n"/>
    </row>
    <row r="72">
      <c r="A72" s="36" t="n"/>
      <c r="B72" s="37" t="n"/>
      <c r="C72" s="37" t="n"/>
      <c r="D72" s="38">
        <f>IF(C72="","",IFERROR(INDEX(Anuncios!$B$6:$B$65,MATCH(C72,Anuncios!$A$6:$A$65,0)),"(no está en Anuncios)"))</f>
        <v/>
      </c>
      <c r="E72" s="39" t="n"/>
      <c r="F72" s="40" t="n"/>
      <c r="G72" s="40" t="n"/>
      <c r="H72" s="40" t="n"/>
      <c r="I72" s="39" t="n"/>
      <c r="J72" s="13">
        <f>IF(N(F72)&gt;0,G72/F72,"")</f>
        <v/>
      </c>
      <c r="K72" s="10">
        <f>IF(N(G72)&gt;0,E72/G72,"")</f>
        <v/>
      </c>
      <c r="L72" s="10">
        <f>IF(N(H72)&gt;0,E72/H72,"")</f>
        <v/>
      </c>
      <c r="M72" s="11">
        <f>IF(N(E72)&gt;0,I72/E72,"")</f>
        <v/>
      </c>
      <c r="N72" s="10">
        <f>IF(AND(E72="",I72=""),"",N(I72)*(1-COM-COM_SHOP)-N(E72)*(1+IMP_META))</f>
        <v/>
      </c>
      <c r="O72" s="37" t="n"/>
    </row>
    <row r="73">
      <c r="A73" s="36" t="n"/>
      <c r="B73" s="37" t="n"/>
      <c r="C73" s="37" t="n"/>
      <c r="D73" s="38">
        <f>IF(C73="","",IFERROR(INDEX(Anuncios!$B$6:$B$65,MATCH(C73,Anuncios!$A$6:$A$65,0)),"(no está en Anuncios)"))</f>
        <v/>
      </c>
      <c r="E73" s="39" t="n"/>
      <c r="F73" s="40" t="n"/>
      <c r="G73" s="40" t="n"/>
      <c r="H73" s="40" t="n"/>
      <c r="I73" s="39" t="n"/>
      <c r="J73" s="13">
        <f>IF(N(F73)&gt;0,G73/F73,"")</f>
        <v/>
      </c>
      <c r="K73" s="10">
        <f>IF(N(G73)&gt;0,E73/G73,"")</f>
        <v/>
      </c>
      <c r="L73" s="10">
        <f>IF(N(H73)&gt;0,E73/H73,"")</f>
        <v/>
      </c>
      <c r="M73" s="11">
        <f>IF(N(E73)&gt;0,I73/E73,"")</f>
        <v/>
      </c>
      <c r="N73" s="10">
        <f>IF(AND(E73="",I73=""),"",N(I73)*(1-COM-COM_SHOP)-N(E73)*(1+IMP_META))</f>
        <v/>
      </c>
      <c r="O73" s="37" t="n"/>
    </row>
    <row r="74">
      <c r="A74" s="36" t="n"/>
      <c r="B74" s="37" t="n"/>
      <c r="C74" s="37" t="n"/>
      <c r="D74" s="38">
        <f>IF(C74="","",IFERROR(INDEX(Anuncios!$B$6:$B$65,MATCH(C74,Anuncios!$A$6:$A$65,0)),"(no está en Anuncios)"))</f>
        <v/>
      </c>
      <c r="E74" s="39" t="n"/>
      <c r="F74" s="40" t="n"/>
      <c r="G74" s="40" t="n"/>
      <c r="H74" s="40" t="n"/>
      <c r="I74" s="39" t="n"/>
      <c r="J74" s="13">
        <f>IF(N(F74)&gt;0,G74/F74,"")</f>
        <v/>
      </c>
      <c r="K74" s="10">
        <f>IF(N(G74)&gt;0,E74/G74,"")</f>
        <v/>
      </c>
      <c r="L74" s="10">
        <f>IF(N(H74)&gt;0,E74/H74,"")</f>
        <v/>
      </c>
      <c r="M74" s="11">
        <f>IF(N(E74)&gt;0,I74/E74,"")</f>
        <v/>
      </c>
      <c r="N74" s="10">
        <f>IF(AND(E74="",I74=""),"",N(I74)*(1-COM-COM_SHOP)-N(E74)*(1+IMP_META))</f>
        <v/>
      </c>
      <c r="O74" s="37" t="n"/>
    </row>
    <row r="75">
      <c r="A75" s="36" t="n"/>
      <c r="B75" s="37" t="n"/>
      <c r="C75" s="37" t="n"/>
      <c r="D75" s="38">
        <f>IF(C75="","",IFERROR(INDEX(Anuncios!$B$6:$B$65,MATCH(C75,Anuncios!$A$6:$A$65,0)),"(no está en Anuncios)"))</f>
        <v/>
      </c>
      <c r="E75" s="39" t="n"/>
      <c r="F75" s="40" t="n"/>
      <c r="G75" s="40" t="n"/>
      <c r="H75" s="40" t="n"/>
      <c r="I75" s="39" t="n"/>
      <c r="J75" s="13">
        <f>IF(N(F75)&gt;0,G75/F75,"")</f>
        <v/>
      </c>
      <c r="K75" s="10">
        <f>IF(N(G75)&gt;0,E75/G75,"")</f>
        <v/>
      </c>
      <c r="L75" s="10">
        <f>IF(N(H75)&gt;0,E75/H75,"")</f>
        <v/>
      </c>
      <c r="M75" s="11">
        <f>IF(N(E75)&gt;0,I75/E75,"")</f>
        <v/>
      </c>
      <c r="N75" s="10">
        <f>IF(AND(E75="",I75=""),"",N(I75)*(1-COM-COM_SHOP)-N(E75)*(1+IMP_META))</f>
        <v/>
      </c>
      <c r="O75" s="37" t="n"/>
    </row>
    <row r="76">
      <c r="A76" s="36" t="n"/>
      <c r="B76" s="37" t="n"/>
      <c r="C76" s="37" t="n"/>
      <c r="D76" s="38">
        <f>IF(C76="","",IFERROR(INDEX(Anuncios!$B$6:$B$65,MATCH(C76,Anuncios!$A$6:$A$65,0)),"(no está en Anuncios)"))</f>
        <v/>
      </c>
      <c r="E76" s="39" t="n"/>
      <c r="F76" s="40" t="n"/>
      <c r="G76" s="40" t="n"/>
      <c r="H76" s="40" t="n"/>
      <c r="I76" s="39" t="n"/>
      <c r="J76" s="13">
        <f>IF(N(F76)&gt;0,G76/F76,"")</f>
        <v/>
      </c>
      <c r="K76" s="10">
        <f>IF(N(G76)&gt;0,E76/G76,"")</f>
        <v/>
      </c>
      <c r="L76" s="10">
        <f>IF(N(H76)&gt;0,E76/H76,"")</f>
        <v/>
      </c>
      <c r="M76" s="11">
        <f>IF(N(E76)&gt;0,I76/E76,"")</f>
        <v/>
      </c>
      <c r="N76" s="10">
        <f>IF(AND(E76="",I76=""),"",N(I76)*(1-COM-COM_SHOP)-N(E76)*(1+IMP_META))</f>
        <v/>
      </c>
      <c r="O76" s="37" t="n"/>
    </row>
    <row r="77">
      <c r="A77" s="36" t="n"/>
      <c r="B77" s="37" t="n"/>
      <c r="C77" s="37" t="n"/>
      <c r="D77" s="38">
        <f>IF(C77="","",IFERROR(INDEX(Anuncios!$B$6:$B$65,MATCH(C77,Anuncios!$A$6:$A$65,0)),"(no está en Anuncios)"))</f>
        <v/>
      </c>
      <c r="E77" s="39" t="n"/>
      <c r="F77" s="40" t="n"/>
      <c r="G77" s="40" t="n"/>
      <c r="H77" s="40" t="n"/>
      <c r="I77" s="39" t="n"/>
      <c r="J77" s="13">
        <f>IF(N(F77)&gt;0,G77/F77,"")</f>
        <v/>
      </c>
      <c r="K77" s="10">
        <f>IF(N(G77)&gt;0,E77/G77,"")</f>
        <v/>
      </c>
      <c r="L77" s="10">
        <f>IF(N(H77)&gt;0,E77/H77,"")</f>
        <v/>
      </c>
      <c r="M77" s="11">
        <f>IF(N(E77)&gt;0,I77/E77,"")</f>
        <v/>
      </c>
      <c r="N77" s="10">
        <f>IF(AND(E77="",I77=""),"",N(I77)*(1-COM-COM_SHOP)-N(E77)*(1+IMP_META))</f>
        <v/>
      </c>
      <c r="O77" s="37" t="n"/>
    </row>
    <row r="78">
      <c r="A78" s="36" t="n"/>
      <c r="B78" s="37" t="n"/>
      <c r="C78" s="37" t="n"/>
      <c r="D78" s="38">
        <f>IF(C78="","",IFERROR(INDEX(Anuncios!$B$6:$B$65,MATCH(C78,Anuncios!$A$6:$A$65,0)),"(no está en Anuncios)"))</f>
        <v/>
      </c>
      <c r="E78" s="39" t="n"/>
      <c r="F78" s="40" t="n"/>
      <c r="G78" s="40" t="n"/>
      <c r="H78" s="40" t="n"/>
      <c r="I78" s="39" t="n"/>
      <c r="J78" s="13">
        <f>IF(N(F78)&gt;0,G78/F78,"")</f>
        <v/>
      </c>
      <c r="K78" s="10">
        <f>IF(N(G78)&gt;0,E78/G78,"")</f>
        <v/>
      </c>
      <c r="L78" s="10">
        <f>IF(N(H78)&gt;0,E78/H78,"")</f>
        <v/>
      </c>
      <c r="M78" s="11">
        <f>IF(N(E78)&gt;0,I78/E78,"")</f>
        <v/>
      </c>
      <c r="N78" s="10">
        <f>IF(AND(E78="",I78=""),"",N(I78)*(1-COM-COM_SHOP)-N(E78)*(1+IMP_META))</f>
        <v/>
      </c>
      <c r="O78" s="37" t="n"/>
    </row>
    <row r="79">
      <c r="A79" s="36" t="n"/>
      <c r="B79" s="37" t="n"/>
      <c r="C79" s="37" t="n"/>
      <c r="D79" s="38">
        <f>IF(C79="","",IFERROR(INDEX(Anuncios!$B$6:$B$65,MATCH(C79,Anuncios!$A$6:$A$65,0)),"(no está en Anuncios)"))</f>
        <v/>
      </c>
      <c r="E79" s="39" t="n"/>
      <c r="F79" s="40" t="n"/>
      <c r="G79" s="40" t="n"/>
      <c r="H79" s="40" t="n"/>
      <c r="I79" s="39" t="n"/>
      <c r="J79" s="13">
        <f>IF(N(F79)&gt;0,G79/F79,"")</f>
        <v/>
      </c>
      <c r="K79" s="10">
        <f>IF(N(G79)&gt;0,E79/G79,"")</f>
        <v/>
      </c>
      <c r="L79" s="10">
        <f>IF(N(H79)&gt;0,E79/H79,"")</f>
        <v/>
      </c>
      <c r="M79" s="11">
        <f>IF(N(E79)&gt;0,I79/E79,"")</f>
        <v/>
      </c>
      <c r="N79" s="10">
        <f>IF(AND(E79="",I79=""),"",N(I79)*(1-COM-COM_SHOP)-N(E79)*(1+IMP_META))</f>
        <v/>
      </c>
      <c r="O79" s="37" t="n"/>
    </row>
    <row r="80">
      <c r="A80" s="36" t="n"/>
      <c r="B80" s="37" t="n"/>
      <c r="C80" s="37" t="n"/>
      <c r="D80" s="38">
        <f>IF(C80="","",IFERROR(INDEX(Anuncios!$B$6:$B$65,MATCH(C80,Anuncios!$A$6:$A$65,0)),"(no está en Anuncios)"))</f>
        <v/>
      </c>
      <c r="E80" s="39" t="n"/>
      <c r="F80" s="40" t="n"/>
      <c r="G80" s="40" t="n"/>
      <c r="H80" s="40" t="n"/>
      <c r="I80" s="39" t="n"/>
      <c r="J80" s="13">
        <f>IF(N(F80)&gt;0,G80/F80,"")</f>
        <v/>
      </c>
      <c r="K80" s="10">
        <f>IF(N(G80)&gt;0,E80/G80,"")</f>
        <v/>
      </c>
      <c r="L80" s="10">
        <f>IF(N(H80)&gt;0,E80/H80,"")</f>
        <v/>
      </c>
      <c r="M80" s="11">
        <f>IF(N(E80)&gt;0,I80/E80,"")</f>
        <v/>
      </c>
      <c r="N80" s="10">
        <f>IF(AND(E80="",I80=""),"",N(I80)*(1-COM-COM_SHOP)-N(E80)*(1+IMP_META))</f>
        <v/>
      </c>
      <c r="O80" s="37" t="n"/>
    </row>
    <row r="81">
      <c r="A81" s="36" t="n"/>
      <c r="B81" s="37" t="n"/>
      <c r="C81" s="37" t="n"/>
      <c r="D81" s="38">
        <f>IF(C81="","",IFERROR(INDEX(Anuncios!$B$6:$B$65,MATCH(C81,Anuncios!$A$6:$A$65,0)),"(no está en Anuncios)"))</f>
        <v/>
      </c>
      <c r="E81" s="39" t="n"/>
      <c r="F81" s="40" t="n"/>
      <c r="G81" s="40" t="n"/>
      <c r="H81" s="40" t="n"/>
      <c r="I81" s="39" t="n"/>
      <c r="J81" s="13">
        <f>IF(N(F81)&gt;0,G81/F81,"")</f>
        <v/>
      </c>
      <c r="K81" s="10">
        <f>IF(N(G81)&gt;0,E81/G81,"")</f>
        <v/>
      </c>
      <c r="L81" s="10">
        <f>IF(N(H81)&gt;0,E81/H81,"")</f>
        <v/>
      </c>
      <c r="M81" s="11">
        <f>IF(N(E81)&gt;0,I81/E81,"")</f>
        <v/>
      </c>
      <c r="N81" s="10">
        <f>IF(AND(E81="",I81=""),"",N(I81)*(1-COM-COM_SHOP)-N(E81)*(1+IMP_META))</f>
        <v/>
      </c>
      <c r="O81" s="37" t="n"/>
    </row>
    <row r="82">
      <c r="A82" s="36" t="n"/>
      <c r="B82" s="37" t="n"/>
      <c r="C82" s="37" t="n"/>
      <c r="D82" s="38">
        <f>IF(C82="","",IFERROR(INDEX(Anuncios!$B$6:$B$65,MATCH(C82,Anuncios!$A$6:$A$65,0)),"(no está en Anuncios)"))</f>
        <v/>
      </c>
      <c r="E82" s="39" t="n"/>
      <c r="F82" s="40" t="n"/>
      <c r="G82" s="40" t="n"/>
      <c r="H82" s="40" t="n"/>
      <c r="I82" s="39" t="n"/>
      <c r="J82" s="13">
        <f>IF(N(F82)&gt;0,G82/F82,"")</f>
        <v/>
      </c>
      <c r="K82" s="10">
        <f>IF(N(G82)&gt;0,E82/G82,"")</f>
        <v/>
      </c>
      <c r="L82" s="10">
        <f>IF(N(H82)&gt;0,E82/H82,"")</f>
        <v/>
      </c>
      <c r="M82" s="11">
        <f>IF(N(E82)&gt;0,I82/E82,"")</f>
        <v/>
      </c>
      <c r="N82" s="10">
        <f>IF(AND(E82="",I82=""),"",N(I82)*(1-COM-COM_SHOP)-N(E82)*(1+IMP_META))</f>
        <v/>
      </c>
      <c r="O82" s="37" t="n"/>
    </row>
    <row r="83">
      <c r="A83" s="36" t="n"/>
      <c r="B83" s="37" t="n"/>
      <c r="C83" s="37" t="n"/>
      <c r="D83" s="38">
        <f>IF(C83="","",IFERROR(INDEX(Anuncios!$B$6:$B$65,MATCH(C83,Anuncios!$A$6:$A$65,0)),"(no está en Anuncios)"))</f>
        <v/>
      </c>
      <c r="E83" s="39" t="n"/>
      <c r="F83" s="40" t="n"/>
      <c r="G83" s="40" t="n"/>
      <c r="H83" s="40" t="n"/>
      <c r="I83" s="39" t="n"/>
      <c r="J83" s="13">
        <f>IF(N(F83)&gt;0,G83/F83,"")</f>
        <v/>
      </c>
      <c r="K83" s="10">
        <f>IF(N(G83)&gt;0,E83/G83,"")</f>
        <v/>
      </c>
      <c r="L83" s="10">
        <f>IF(N(H83)&gt;0,E83/H83,"")</f>
        <v/>
      </c>
      <c r="M83" s="11">
        <f>IF(N(E83)&gt;0,I83/E83,"")</f>
        <v/>
      </c>
      <c r="N83" s="10">
        <f>IF(AND(E83="",I83=""),"",N(I83)*(1-COM-COM_SHOP)-N(E83)*(1+IMP_META))</f>
        <v/>
      </c>
      <c r="O83" s="37" t="n"/>
    </row>
    <row r="84">
      <c r="A84" s="36" t="n"/>
      <c r="B84" s="37" t="n"/>
      <c r="C84" s="37" t="n"/>
      <c r="D84" s="38">
        <f>IF(C84="","",IFERROR(INDEX(Anuncios!$B$6:$B$65,MATCH(C84,Anuncios!$A$6:$A$65,0)),"(no está en Anuncios)"))</f>
        <v/>
      </c>
      <c r="E84" s="39" t="n"/>
      <c r="F84" s="40" t="n"/>
      <c r="G84" s="40" t="n"/>
      <c r="H84" s="40" t="n"/>
      <c r="I84" s="39" t="n"/>
      <c r="J84" s="13">
        <f>IF(N(F84)&gt;0,G84/F84,"")</f>
        <v/>
      </c>
      <c r="K84" s="10">
        <f>IF(N(G84)&gt;0,E84/G84,"")</f>
        <v/>
      </c>
      <c r="L84" s="10">
        <f>IF(N(H84)&gt;0,E84/H84,"")</f>
        <v/>
      </c>
      <c r="M84" s="11">
        <f>IF(N(E84)&gt;0,I84/E84,"")</f>
        <v/>
      </c>
      <c r="N84" s="10">
        <f>IF(AND(E84="",I84=""),"",N(I84)*(1-COM-COM_SHOP)-N(E84)*(1+IMP_META))</f>
        <v/>
      </c>
      <c r="O84" s="37" t="n"/>
    </row>
    <row r="85">
      <c r="A85" s="36" t="n"/>
      <c r="B85" s="37" t="n"/>
      <c r="C85" s="37" t="n"/>
      <c r="D85" s="38">
        <f>IF(C85="","",IFERROR(INDEX(Anuncios!$B$6:$B$65,MATCH(C85,Anuncios!$A$6:$A$65,0)),"(no está en Anuncios)"))</f>
        <v/>
      </c>
      <c r="E85" s="39" t="n"/>
      <c r="F85" s="40" t="n"/>
      <c r="G85" s="40" t="n"/>
      <c r="H85" s="40" t="n"/>
      <c r="I85" s="39" t="n"/>
      <c r="J85" s="13">
        <f>IF(N(F85)&gt;0,G85/F85,"")</f>
        <v/>
      </c>
      <c r="K85" s="10">
        <f>IF(N(G85)&gt;0,E85/G85,"")</f>
        <v/>
      </c>
      <c r="L85" s="10">
        <f>IF(N(H85)&gt;0,E85/H85,"")</f>
        <v/>
      </c>
      <c r="M85" s="11">
        <f>IF(N(E85)&gt;0,I85/E85,"")</f>
        <v/>
      </c>
      <c r="N85" s="10">
        <f>IF(AND(E85="",I85=""),"",N(I85)*(1-COM-COM_SHOP)-N(E85)*(1+IMP_META))</f>
        <v/>
      </c>
      <c r="O85" s="37" t="n"/>
    </row>
    <row r="86">
      <c r="A86" s="36" t="n"/>
      <c r="B86" s="37" t="n"/>
      <c r="C86" s="37" t="n"/>
      <c r="D86" s="38">
        <f>IF(C86="","",IFERROR(INDEX(Anuncios!$B$6:$B$65,MATCH(C86,Anuncios!$A$6:$A$65,0)),"(no está en Anuncios)"))</f>
        <v/>
      </c>
      <c r="E86" s="39" t="n"/>
      <c r="F86" s="40" t="n"/>
      <c r="G86" s="40" t="n"/>
      <c r="H86" s="40" t="n"/>
      <c r="I86" s="39" t="n"/>
      <c r="J86" s="13">
        <f>IF(N(F86)&gt;0,G86/F86,"")</f>
        <v/>
      </c>
      <c r="K86" s="10">
        <f>IF(N(G86)&gt;0,E86/G86,"")</f>
        <v/>
      </c>
      <c r="L86" s="10">
        <f>IF(N(H86)&gt;0,E86/H86,"")</f>
        <v/>
      </c>
      <c r="M86" s="11">
        <f>IF(N(E86)&gt;0,I86/E86,"")</f>
        <v/>
      </c>
      <c r="N86" s="10">
        <f>IF(AND(E86="",I86=""),"",N(I86)*(1-COM-COM_SHOP)-N(E86)*(1+IMP_META))</f>
        <v/>
      </c>
      <c r="O86" s="37" t="n"/>
    </row>
    <row r="87">
      <c r="A87" s="36" t="n"/>
      <c r="B87" s="37" t="n"/>
      <c r="C87" s="37" t="n"/>
      <c r="D87" s="38">
        <f>IF(C87="","",IFERROR(INDEX(Anuncios!$B$6:$B$65,MATCH(C87,Anuncios!$A$6:$A$65,0)),"(no está en Anuncios)"))</f>
        <v/>
      </c>
      <c r="E87" s="39" t="n"/>
      <c r="F87" s="40" t="n"/>
      <c r="G87" s="40" t="n"/>
      <c r="H87" s="40" t="n"/>
      <c r="I87" s="39" t="n"/>
      <c r="J87" s="13">
        <f>IF(N(F87)&gt;0,G87/F87,"")</f>
        <v/>
      </c>
      <c r="K87" s="10">
        <f>IF(N(G87)&gt;0,E87/G87,"")</f>
        <v/>
      </c>
      <c r="L87" s="10">
        <f>IF(N(H87)&gt;0,E87/H87,"")</f>
        <v/>
      </c>
      <c r="M87" s="11">
        <f>IF(N(E87)&gt;0,I87/E87,"")</f>
        <v/>
      </c>
      <c r="N87" s="10">
        <f>IF(AND(E87="",I87=""),"",N(I87)*(1-COM-COM_SHOP)-N(E87)*(1+IMP_META))</f>
        <v/>
      </c>
      <c r="O87" s="37" t="n"/>
    </row>
    <row r="88">
      <c r="A88" s="36" t="n"/>
      <c r="B88" s="37" t="n"/>
      <c r="C88" s="37" t="n"/>
      <c r="D88" s="38">
        <f>IF(C88="","",IFERROR(INDEX(Anuncios!$B$6:$B$65,MATCH(C88,Anuncios!$A$6:$A$65,0)),"(no está en Anuncios)"))</f>
        <v/>
      </c>
      <c r="E88" s="39" t="n"/>
      <c r="F88" s="40" t="n"/>
      <c r="G88" s="40" t="n"/>
      <c r="H88" s="40" t="n"/>
      <c r="I88" s="39" t="n"/>
      <c r="J88" s="13">
        <f>IF(N(F88)&gt;0,G88/F88,"")</f>
        <v/>
      </c>
      <c r="K88" s="10">
        <f>IF(N(G88)&gt;0,E88/G88,"")</f>
        <v/>
      </c>
      <c r="L88" s="10">
        <f>IF(N(H88)&gt;0,E88/H88,"")</f>
        <v/>
      </c>
      <c r="M88" s="11">
        <f>IF(N(E88)&gt;0,I88/E88,"")</f>
        <v/>
      </c>
      <c r="N88" s="10">
        <f>IF(AND(E88="",I88=""),"",N(I88)*(1-COM-COM_SHOP)-N(E88)*(1+IMP_META))</f>
        <v/>
      </c>
      <c r="O88" s="37" t="n"/>
    </row>
    <row r="89">
      <c r="A89" s="36" t="n"/>
      <c r="B89" s="37" t="n"/>
      <c r="C89" s="37" t="n"/>
      <c r="D89" s="38">
        <f>IF(C89="","",IFERROR(INDEX(Anuncios!$B$6:$B$65,MATCH(C89,Anuncios!$A$6:$A$65,0)),"(no está en Anuncios)"))</f>
        <v/>
      </c>
      <c r="E89" s="39" t="n"/>
      <c r="F89" s="40" t="n"/>
      <c r="G89" s="40" t="n"/>
      <c r="H89" s="40" t="n"/>
      <c r="I89" s="39" t="n"/>
      <c r="J89" s="13">
        <f>IF(N(F89)&gt;0,G89/F89,"")</f>
        <v/>
      </c>
      <c r="K89" s="10">
        <f>IF(N(G89)&gt;0,E89/G89,"")</f>
        <v/>
      </c>
      <c r="L89" s="10">
        <f>IF(N(H89)&gt;0,E89/H89,"")</f>
        <v/>
      </c>
      <c r="M89" s="11">
        <f>IF(N(E89)&gt;0,I89/E89,"")</f>
        <v/>
      </c>
      <c r="N89" s="10">
        <f>IF(AND(E89="",I89=""),"",N(I89)*(1-COM-COM_SHOP)-N(E89)*(1+IMP_META))</f>
        <v/>
      </c>
      <c r="O89" s="37" t="n"/>
    </row>
    <row r="90">
      <c r="A90" s="36" t="n"/>
      <c r="B90" s="37" t="n"/>
      <c r="C90" s="37" t="n"/>
      <c r="D90" s="38">
        <f>IF(C90="","",IFERROR(INDEX(Anuncios!$B$6:$B$65,MATCH(C90,Anuncios!$A$6:$A$65,0)),"(no está en Anuncios)"))</f>
        <v/>
      </c>
      <c r="E90" s="39" t="n"/>
      <c r="F90" s="40" t="n"/>
      <c r="G90" s="40" t="n"/>
      <c r="H90" s="40" t="n"/>
      <c r="I90" s="39" t="n"/>
      <c r="J90" s="13">
        <f>IF(N(F90)&gt;0,G90/F90,"")</f>
        <v/>
      </c>
      <c r="K90" s="10">
        <f>IF(N(G90)&gt;0,E90/G90,"")</f>
        <v/>
      </c>
      <c r="L90" s="10">
        <f>IF(N(H90)&gt;0,E90/H90,"")</f>
        <v/>
      </c>
      <c r="M90" s="11">
        <f>IF(N(E90)&gt;0,I90/E90,"")</f>
        <v/>
      </c>
      <c r="N90" s="10">
        <f>IF(AND(E90="",I90=""),"",N(I90)*(1-COM-COM_SHOP)-N(E90)*(1+IMP_META))</f>
        <v/>
      </c>
      <c r="O90" s="37" t="n"/>
    </row>
    <row r="91">
      <c r="A91" s="36" t="n"/>
      <c r="B91" s="37" t="n"/>
      <c r="C91" s="37" t="n"/>
      <c r="D91" s="38">
        <f>IF(C91="","",IFERROR(INDEX(Anuncios!$B$6:$B$65,MATCH(C91,Anuncios!$A$6:$A$65,0)),"(no está en Anuncios)"))</f>
        <v/>
      </c>
      <c r="E91" s="39" t="n"/>
      <c r="F91" s="40" t="n"/>
      <c r="G91" s="40" t="n"/>
      <c r="H91" s="40" t="n"/>
      <c r="I91" s="39" t="n"/>
      <c r="J91" s="13">
        <f>IF(N(F91)&gt;0,G91/F91,"")</f>
        <v/>
      </c>
      <c r="K91" s="10">
        <f>IF(N(G91)&gt;0,E91/G91,"")</f>
        <v/>
      </c>
      <c r="L91" s="10">
        <f>IF(N(H91)&gt;0,E91/H91,"")</f>
        <v/>
      </c>
      <c r="M91" s="11">
        <f>IF(N(E91)&gt;0,I91/E91,"")</f>
        <v/>
      </c>
      <c r="N91" s="10">
        <f>IF(AND(E91="",I91=""),"",N(I91)*(1-COM-COM_SHOP)-N(E91)*(1+IMP_META))</f>
        <v/>
      </c>
      <c r="O91" s="37" t="n"/>
    </row>
    <row r="92">
      <c r="A92" s="36" t="n"/>
      <c r="B92" s="37" t="n"/>
      <c r="C92" s="37" t="n"/>
      <c r="D92" s="38">
        <f>IF(C92="","",IFERROR(INDEX(Anuncios!$B$6:$B$65,MATCH(C92,Anuncios!$A$6:$A$65,0)),"(no está en Anuncios)"))</f>
        <v/>
      </c>
      <c r="E92" s="39" t="n"/>
      <c r="F92" s="40" t="n"/>
      <c r="G92" s="40" t="n"/>
      <c r="H92" s="40" t="n"/>
      <c r="I92" s="39" t="n"/>
      <c r="J92" s="13">
        <f>IF(N(F92)&gt;0,G92/F92,"")</f>
        <v/>
      </c>
      <c r="K92" s="10">
        <f>IF(N(G92)&gt;0,E92/G92,"")</f>
        <v/>
      </c>
      <c r="L92" s="10">
        <f>IF(N(H92)&gt;0,E92/H92,"")</f>
        <v/>
      </c>
      <c r="M92" s="11">
        <f>IF(N(E92)&gt;0,I92/E92,"")</f>
        <v/>
      </c>
      <c r="N92" s="10">
        <f>IF(AND(E92="",I92=""),"",N(I92)*(1-COM-COM_SHOP)-N(E92)*(1+IMP_META))</f>
        <v/>
      </c>
      <c r="O92" s="37" t="n"/>
    </row>
    <row r="93">
      <c r="A93" s="36" t="n"/>
      <c r="B93" s="37" t="n"/>
      <c r="C93" s="37" t="n"/>
      <c r="D93" s="38">
        <f>IF(C93="","",IFERROR(INDEX(Anuncios!$B$6:$B$65,MATCH(C93,Anuncios!$A$6:$A$65,0)),"(no está en Anuncios)"))</f>
        <v/>
      </c>
      <c r="E93" s="39" t="n"/>
      <c r="F93" s="40" t="n"/>
      <c r="G93" s="40" t="n"/>
      <c r="H93" s="40" t="n"/>
      <c r="I93" s="39" t="n"/>
      <c r="J93" s="13">
        <f>IF(N(F93)&gt;0,G93/F93,"")</f>
        <v/>
      </c>
      <c r="K93" s="10">
        <f>IF(N(G93)&gt;0,E93/G93,"")</f>
        <v/>
      </c>
      <c r="L93" s="10">
        <f>IF(N(H93)&gt;0,E93/H93,"")</f>
        <v/>
      </c>
      <c r="M93" s="11">
        <f>IF(N(E93)&gt;0,I93/E93,"")</f>
        <v/>
      </c>
      <c r="N93" s="10">
        <f>IF(AND(E93="",I93=""),"",N(I93)*(1-COM-COM_SHOP)-N(E93)*(1+IMP_META))</f>
        <v/>
      </c>
      <c r="O93" s="37" t="n"/>
    </row>
    <row r="94">
      <c r="A94" s="36" t="n"/>
      <c r="B94" s="37" t="n"/>
      <c r="C94" s="37" t="n"/>
      <c r="D94" s="38">
        <f>IF(C94="","",IFERROR(INDEX(Anuncios!$B$6:$B$65,MATCH(C94,Anuncios!$A$6:$A$65,0)),"(no está en Anuncios)"))</f>
        <v/>
      </c>
      <c r="E94" s="39" t="n"/>
      <c r="F94" s="40" t="n"/>
      <c r="G94" s="40" t="n"/>
      <c r="H94" s="40" t="n"/>
      <c r="I94" s="39" t="n"/>
      <c r="J94" s="13">
        <f>IF(N(F94)&gt;0,G94/F94,"")</f>
        <v/>
      </c>
      <c r="K94" s="10">
        <f>IF(N(G94)&gt;0,E94/G94,"")</f>
        <v/>
      </c>
      <c r="L94" s="10">
        <f>IF(N(H94)&gt;0,E94/H94,"")</f>
        <v/>
      </c>
      <c r="M94" s="11">
        <f>IF(N(E94)&gt;0,I94/E94,"")</f>
        <v/>
      </c>
      <c r="N94" s="10">
        <f>IF(AND(E94="",I94=""),"",N(I94)*(1-COM-COM_SHOP)-N(E94)*(1+IMP_META))</f>
        <v/>
      </c>
      <c r="O94" s="37" t="n"/>
    </row>
    <row r="95">
      <c r="A95" s="36" t="n"/>
      <c r="B95" s="37" t="n"/>
      <c r="C95" s="37" t="n"/>
      <c r="D95" s="38">
        <f>IF(C95="","",IFERROR(INDEX(Anuncios!$B$6:$B$65,MATCH(C95,Anuncios!$A$6:$A$65,0)),"(no está en Anuncios)"))</f>
        <v/>
      </c>
      <c r="E95" s="39" t="n"/>
      <c r="F95" s="40" t="n"/>
      <c r="G95" s="40" t="n"/>
      <c r="H95" s="40" t="n"/>
      <c r="I95" s="39" t="n"/>
      <c r="J95" s="13">
        <f>IF(N(F95)&gt;0,G95/F95,"")</f>
        <v/>
      </c>
      <c r="K95" s="10">
        <f>IF(N(G95)&gt;0,E95/G95,"")</f>
        <v/>
      </c>
      <c r="L95" s="10">
        <f>IF(N(H95)&gt;0,E95/H95,"")</f>
        <v/>
      </c>
      <c r="M95" s="11">
        <f>IF(N(E95)&gt;0,I95/E95,"")</f>
        <v/>
      </c>
      <c r="N95" s="10">
        <f>IF(AND(E95="",I95=""),"",N(I95)*(1-COM-COM_SHOP)-N(E95)*(1+IMP_META))</f>
        <v/>
      </c>
      <c r="O95" s="37" t="n"/>
    </row>
    <row r="96">
      <c r="A96" s="36" t="n"/>
      <c r="B96" s="37" t="n"/>
      <c r="C96" s="37" t="n"/>
      <c r="D96" s="38">
        <f>IF(C96="","",IFERROR(INDEX(Anuncios!$B$6:$B$65,MATCH(C96,Anuncios!$A$6:$A$65,0)),"(no está en Anuncios)"))</f>
        <v/>
      </c>
      <c r="E96" s="39" t="n"/>
      <c r="F96" s="40" t="n"/>
      <c r="G96" s="40" t="n"/>
      <c r="H96" s="40" t="n"/>
      <c r="I96" s="39" t="n"/>
      <c r="J96" s="13">
        <f>IF(N(F96)&gt;0,G96/F96,"")</f>
        <v/>
      </c>
      <c r="K96" s="10">
        <f>IF(N(G96)&gt;0,E96/G96,"")</f>
        <v/>
      </c>
      <c r="L96" s="10">
        <f>IF(N(H96)&gt;0,E96/H96,"")</f>
        <v/>
      </c>
      <c r="M96" s="11">
        <f>IF(N(E96)&gt;0,I96/E96,"")</f>
        <v/>
      </c>
      <c r="N96" s="10">
        <f>IF(AND(E96="",I96=""),"",N(I96)*(1-COM-COM_SHOP)-N(E96)*(1+IMP_META))</f>
        <v/>
      </c>
      <c r="O96" s="37" t="n"/>
    </row>
    <row r="97">
      <c r="A97" s="36" t="n"/>
      <c r="B97" s="37" t="n"/>
      <c r="C97" s="37" t="n"/>
      <c r="D97" s="38">
        <f>IF(C97="","",IFERROR(INDEX(Anuncios!$B$6:$B$65,MATCH(C97,Anuncios!$A$6:$A$65,0)),"(no está en Anuncios)"))</f>
        <v/>
      </c>
      <c r="E97" s="39" t="n"/>
      <c r="F97" s="40" t="n"/>
      <c r="G97" s="40" t="n"/>
      <c r="H97" s="40" t="n"/>
      <c r="I97" s="39" t="n"/>
      <c r="J97" s="13">
        <f>IF(N(F97)&gt;0,G97/F97,"")</f>
        <v/>
      </c>
      <c r="K97" s="10">
        <f>IF(N(G97)&gt;0,E97/G97,"")</f>
        <v/>
      </c>
      <c r="L97" s="10">
        <f>IF(N(H97)&gt;0,E97/H97,"")</f>
        <v/>
      </c>
      <c r="M97" s="11">
        <f>IF(N(E97)&gt;0,I97/E97,"")</f>
        <v/>
      </c>
      <c r="N97" s="10">
        <f>IF(AND(E97="",I97=""),"",N(I97)*(1-COM-COM_SHOP)-N(E97)*(1+IMP_META))</f>
        <v/>
      </c>
      <c r="O97" s="37" t="n"/>
    </row>
    <row r="98">
      <c r="A98" s="36" t="n"/>
      <c r="B98" s="37" t="n"/>
      <c r="C98" s="37" t="n"/>
      <c r="D98" s="38">
        <f>IF(C98="","",IFERROR(INDEX(Anuncios!$B$6:$B$65,MATCH(C98,Anuncios!$A$6:$A$65,0)),"(no está en Anuncios)"))</f>
        <v/>
      </c>
      <c r="E98" s="39" t="n"/>
      <c r="F98" s="40" t="n"/>
      <c r="G98" s="40" t="n"/>
      <c r="H98" s="40" t="n"/>
      <c r="I98" s="39" t="n"/>
      <c r="J98" s="13">
        <f>IF(N(F98)&gt;0,G98/F98,"")</f>
        <v/>
      </c>
      <c r="K98" s="10">
        <f>IF(N(G98)&gt;0,E98/G98,"")</f>
        <v/>
      </c>
      <c r="L98" s="10">
        <f>IF(N(H98)&gt;0,E98/H98,"")</f>
        <v/>
      </c>
      <c r="M98" s="11">
        <f>IF(N(E98)&gt;0,I98/E98,"")</f>
        <v/>
      </c>
      <c r="N98" s="10">
        <f>IF(AND(E98="",I98=""),"",N(I98)*(1-COM-COM_SHOP)-N(E98)*(1+IMP_META))</f>
        <v/>
      </c>
      <c r="O98" s="37" t="n"/>
    </row>
    <row r="99">
      <c r="A99" s="36" t="n"/>
      <c r="B99" s="37" t="n"/>
      <c r="C99" s="37" t="n"/>
      <c r="D99" s="38">
        <f>IF(C99="","",IFERROR(INDEX(Anuncios!$B$6:$B$65,MATCH(C99,Anuncios!$A$6:$A$65,0)),"(no está en Anuncios)"))</f>
        <v/>
      </c>
      <c r="E99" s="39" t="n"/>
      <c r="F99" s="40" t="n"/>
      <c r="G99" s="40" t="n"/>
      <c r="H99" s="40" t="n"/>
      <c r="I99" s="39" t="n"/>
      <c r="J99" s="13">
        <f>IF(N(F99)&gt;0,G99/F99,"")</f>
        <v/>
      </c>
      <c r="K99" s="10">
        <f>IF(N(G99)&gt;0,E99/G99,"")</f>
        <v/>
      </c>
      <c r="L99" s="10">
        <f>IF(N(H99)&gt;0,E99/H99,"")</f>
        <v/>
      </c>
      <c r="M99" s="11">
        <f>IF(N(E99)&gt;0,I99/E99,"")</f>
        <v/>
      </c>
      <c r="N99" s="10">
        <f>IF(AND(E99="",I99=""),"",N(I99)*(1-COM-COM_SHOP)-N(E99)*(1+IMP_META))</f>
        <v/>
      </c>
      <c r="O99" s="37" t="n"/>
    </row>
    <row r="100">
      <c r="A100" s="36" t="n"/>
      <c r="B100" s="37" t="n"/>
      <c r="C100" s="37" t="n"/>
      <c r="D100" s="38">
        <f>IF(C100="","",IFERROR(INDEX(Anuncios!$B$6:$B$65,MATCH(C100,Anuncios!$A$6:$A$65,0)),"(no está en Anuncios)"))</f>
        <v/>
      </c>
      <c r="E100" s="39" t="n"/>
      <c r="F100" s="40" t="n"/>
      <c r="G100" s="40" t="n"/>
      <c r="H100" s="40" t="n"/>
      <c r="I100" s="39" t="n"/>
      <c r="J100" s="13">
        <f>IF(N(F100)&gt;0,G100/F100,"")</f>
        <v/>
      </c>
      <c r="K100" s="10">
        <f>IF(N(G100)&gt;0,E100/G100,"")</f>
        <v/>
      </c>
      <c r="L100" s="10">
        <f>IF(N(H100)&gt;0,E100/H100,"")</f>
        <v/>
      </c>
      <c r="M100" s="11">
        <f>IF(N(E100)&gt;0,I100/E100,"")</f>
        <v/>
      </c>
      <c r="N100" s="10">
        <f>IF(AND(E100="",I100=""),"",N(I100)*(1-COM-COM_SHOP)-N(E100)*(1+IMP_META))</f>
        <v/>
      </c>
      <c r="O100" s="37" t="n"/>
    </row>
    <row r="101">
      <c r="A101" s="36" t="n"/>
      <c r="B101" s="37" t="n"/>
      <c r="C101" s="37" t="n"/>
      <c r="D101" s="38">
        <f>IF(C101="","",IFERROR(INDEX(Anuncios!$B$6:$B$65,MATCH(C101,Anuncios!$A$6:$A$65,0)),"(no está en Anuncios)"))</f>
        <v/>
      </c>
      <c r="E101" s="39" t="n"/>
      <c r="F101" s="40" t="n"/>
      <c r="G101" s="40" t="n"/>
      <c r="H101" s="40" t="n"/>
      <c r="I101" s="39" t="n"/>
      <c r="J101" s="13">
        <f>IF(N(F101)&gt;0,G101/F101,"")</f>
        <v/>
      </c>
      <c r="K101" s="10">
        <f>IF(N(G101)&gt;0,E101/G101,"")</f>
        <v/>
      </c>
      <c r="L101" s="10">
        <f>IF(N(H101)&gt;0,E101/H101,"")</f>
        <v/>
      </c>
      <c r="M101" s="11">
        <f>IF(N(E101)&gt;0,I101/E101,"")</f>
        <v/>
      </c>
      <c r="N101" s="10">
        <f>IF(AND(E101="",I101=""),"",N(I101)*(1-COM-COM_SHOP)-N(E101)*(1+IMP_META))</f>
        <v/>
      </c>
      <c r="O101" s="37" t="n"/>
    </row>
    <row r="102">
      <c r="A102" s="36" t="n"/>
      <c r="B102" s="37" t="n"/>
      <c r="C102" s="37" t="n"/>
      <c r="D102" s="38">
        <f>IF(C102="","",IFERROR(INDEX(Anuncios!$B$6:$B$65,MATCH(C102,Anuncios!$A$6:$A$65,0)),"(no está en Anuncios)"))</f>
        <v/>
      </c>
      <c r="E102" s="39" t="n"/>
      <c r="F102" s="40" t="n"/>
      <c r="G102" s="40" t="n"/>
      <c r="H102" s="40" t="n"/>
      <c r="I102" s="39" t="n"/>
      <c r="J102" s="13">
        <f>IF(N(F102)&gt;0,G102/F102,"")</f>
        <v/>
      </c>
      <c r="K102" s="10">
        <f>IF(N(G102)&gt;0,E102/G102,"")</f>
        <v/>
      </c>
      <c r="L102" s="10">
        <f>IF(N(H102)&gt;0,E102/H102,"")</f>
        <v/>
      </c>
      <c r="M102" s="11">
        <f>IF(N(E102)&gt;0,I102/E102,"")</f>
        <v/>
      </c>
      <c r="N102" s="10">
        <f>IF(AND(E102="",I102=""),"",N(I102)*(1-COM-COM_SHOP)-N(E102)*(1+IMP_META))</f>
        <v/>
      </c>
      <c r="O102" s="37" t="n"/>
    </row>
    <row r="103">
      <c r="A103" s="36" t="n"/>
      <c r="B103" s="37" t="n"/>
      <c r="C103" s="37" t="n"/>
      <c r="D103" s="38">
        <f>IF(C103="","",IFERROR(INDEX(Anuncios!$B$6:$B$65,MATCH(C103,Anuncios!$A$6:$A$65,0)),"(no está en Anuncios)"))</f>
        <v/>
      </c>
      <c r="E103" s="39" t="n"/>
      <c r="F103" s="40" t="n"/>
      <c r="G103" s="40" t="n"/>
      <c r="H103" s="40" t="n"/>
      <c r="I103" s="39" t="n"/>
      <c r="J103" s="13">
        <f>IF(N(F103)&gt;0,G103/F103,"")</f>
        <v/>
      </c>
      <c r="K103" s="10">
        <f>IF(N(G103)&gt;0,E103/G103,"")</f>
        <v/>
      </c>
      <c r="L103" s="10">
        <f>IF(N(H103)&gt;0,E103/H103,"")</f>
        <v/>
      </c>
      <c r="M103" s="11">
        <f>IF(N(E103)&gt;0,I103/E103,"")</f>
        <v/>
      </c>
      <c r="N103" s="10">
        <f>IF(AND(E103="",I103=""),"",N(I103)*(1-COM-COM_SHOP)-N(E103)*(1+IMP_META))</f>
        <v/>
      </c>
      <c r="O103" s="37" t="n"/>
    </row>
    <row r="104">
      <c r="A104" s="36" t="n"/>
      <c r="B104" s="37" t="n"/>
      <c r="C104" s="37" t="n"/>
      <c r="D104" s="38">
        <f>IF(C104="","",IFERROR(INDEX(Anuncios!$B$6:$B$65,MATCH(C104,Anuncios!$A$6:$A$65,0)),"(no está en Anuncios)"))</f>
        <v/>
      </c>
      <c r="E104" s="39" t="n"/>
      <c r="F104" s="40" t="n"/>
      <c r="G104" s="40" t="n"/>
      <c r="H104" s="40" t="n"/>
      <c r="I104" s="39" t="n"/>
      <c r="J104" s="13">
        <f>IF(N(F104)&gt;0,G104/F104,"")</f>
        <v/>
      </c>
      <c r="K104" s="10">
        <f>IF(N(G104)&gt;0,E104/G104,"")</f>
        <v/>
      </c>
      <c r="L104" s="10">
        <f>IF(N(H104)&gt;0,E104/H104,"")</f>
        <v/>
      </c>
      <c r="M104" s="11">
        <f>IF(N(E104)&gt;0,I104/E104,"")</f>
        <v/>
      </c>
      <c r="N104" s="10">
        <f>IF(AND(E104="",I104=""),"",N(I104)*(1-COM-COM_SHOP)-N(E104)*(1+IMP_META))</f>
        <v/>
      </c>
      <c r="O104" s="37" t="n"/>
    </row>
    <row r="105">
      <c r="A105" s="36" t="n"/>
      <c r="B105" s="37" t="n"/>
      <c r="C105" s="37" t="n"/>
      <c r="D105" s="38">
        <f>IF(C105="","",IFERROR(INDEX(Anuncios!$B$6:$B$65,MATCH(C105,Anuncios!$A$6:$A$65,0)),"(no está en Anuncios)"))</f>
        <v/>
      </c>
      <c r="E105" s="39" t="n"/>
      <c r="F105" s="40" t="n"/>
      <c r="G105" s="40" t="n"/>
      <c r="H105" s="40" t="n"/>
      <c r="I105" s="39" t="n"/>
      <c r="J105" s="13">
        <f>IF(N(F105)&gt;0,G105/F105,"")</f>
        <v/>
      </c>
      <c r="K105" s="10">
        <f>IF(N(G105)&gt;0,E105/G105,"")</f>
        <v/>
      </c>
      <c r="L105" s="10">
        <f>IF(N(H105)&gt;0,E105/H105,"")</f>
        <v/>
      </c>
      <c r="M105" s="11">
        <f>IF(N(E105)&gt;0,I105/E105,"")</f>
        <v/>
      </c>
      <c r="N105" s="10">
        <f>IF(AND(E105="",I105=""),"",N(I105)*(1-COM-COM_SHOP)-N(E105)*(1+IMP_META))</f>
        <v/>
      </c>
      <c r="O105" s="37" t="n"/>
    </row>
    <row r="106">
      <c r="A106" s="36" t="n"/>
      <c r="B106" s="37" t="n"/>
      <c r="C106" s="37" t="n"/>
      <c r="D106" s="38">
        <f>IF(C106="","",IFERROR(INDEX(Anuncios!$B$6:$B$65,MATCH(C106,Anuncios!$A$6:$A$65,0)),"(no está en Anuncios)"))</f>
        <v/>
      </c>
      <c r="E106" s="39" t="n"/>
      <c r="F106" s="40" t="n"/>
      <c r="G106" s="40" t="n"/>
      <c r="H106" s="40" t="n"/>
      <c r="I106" s="39" t="n"/>
      <c r="J106" s="13">
        <f>IF(N(F106)&gt;0,G106/F106,"")</f>
        <v/>
      </c>
      <c r="K106" s="10">
        <f>IF(N(G106)&gt;0,E106/G106,"")</f>
        <v/>
      </c>
      <c r="L106" s="10">
        <f>IF(N(H106)&gt;0,E106/H106,"")</f>
        <v/>
      </c>
      <c r="M106" s="11">
        <f>IF(N(E106)&gt;0,I106/E106,"")</f>
        <v/>
      </c>
      <c r="N106" s="10">
        <f>IF(AND(E106="",I106=""),"",N(I106)*(1-COM-COM_SHOP)-N(E106)*(1+IMP_META))</f>
        <v/>
      </c>
      <c r="O106" s="37" t="n"/>
    </row>
    <row r="107">
      <c r="A107" s="36" t="n"/>
      <c r="B107" s="37" t="n"/>
      <c r="C107" s="37" t="n"/>
      <c r="D107" s="38">
        <f>IF(C107="","",IFERROR(INDEX(Anuncios!$B$6:$B$65,MATCH(C107,Anuncios!$A$6:$A$65,0)),"(no está en Anuncios)"))</f>
        <v/>
      </c>
      <c r="E107" s="39" t="n"/>
      <c r="F107" s="40" t="n"/>
      <c r="G107" s="40" t="n"/>
      <c r="H107" s="40" t="n"/>
      <c r="I107" s="39" t="n"/>
      <c r="J107" s="13">
        <f>IF(N(F107)&gt;0,G107/F107,"")</f>
        <v/>
      </c>
      <c r="K107" s="10">
        <f>IF(N(G107)&gt;0,E107/G107,"")</f>
        <v/>
      </c>
      <c r="L107" s="10">
        <f>IF(N(H107)&gt;0,E107/H107,"")</f>
        <v/>
      </c>
      <c r="M107" s="11">
        <f>IF(N(E107)&gt;0,I107/E107,"")</f>
        <v/>
      </c>
      <c r="N107" s="10">
        <f>IF(AND(E107="",I107=""),"",N(I107)*(1-COM-COM_SHOP)-N(E107)*(1+IMP_META))</f>
        <v/>
      </c>
      <c r="O107" s="37" t="n"/>
    </row>
    <row r="108">
      <c r="A108" s="36" t="n"/>
      <c r="B108" s="37" t="n"/>
      <c r="C108" s="37" t="n"/>
      <c r="D108" s="38">
        <f>IF(C108="","",IFERROR(INDEX(Anuncios!$B$6:$B$65,MATCH(C108,Anuncios!$A$6:$A$65,0)),"(no está en Anuncios)"))</f>
        <v/>
      </c>
      <c r="E108" s="39" t="n"/>
      <c r="F108" s="40" t="n"/>
      <c r="G108" s="40" t="n"/>
      <c r="H108" s="40" t="n"/>
      <c r="I108" s="39" t="n"/>
      <c r="J108" s="13">
        <f>IF(N(F108)&gt;0,G108/F108,"")</f>
        <v/>
      </c>
      <c r="K108" s="10">
        <f>IF(N(G108)&gt;0,E108/G108,"")</f>
        <v/>
      </c>
      <c r="L108" s="10">
        <f>IF(N(H108)&gt;0,E108/H108,"")</f>
        <v/>
      </c>
      <c r="M108" s="11">
        <f>IF(N(E108)&gt;0,I108/E108,"")</f>
        <v/>
      </c>
      <c r="N108" s="10">
        <f>IF(AND(E108="",I108=""),"",N(I108)*(1-COM-COM_SHOP)-N(E108)*(1+IMP_META))</f>
        <v/>
      </c>
      <c r="O108" s="37" t="n"/>
    </row>
    <row r="109">
      <c r="A109" s="36" t="n"/>
      <c r="B109" s="37" t="n"/>
      <c r="C109" s="37" t="n"/>
      <c r="D109" s="38">
        <f>IF(C109="","",IFERROR(INDEX(Anuncios!$B$6:$B$65,MATCH(C109,Anuncios!$A$6:$A$65,0)),"(no está en Anuncios)"))</f>
        <v/>
      </c>
      <c r="E109" s="39" t="n"/>
      <c r="F109" s="40" t="n"/>
      <c r="G109" s="40" t="n"/>
      <c r="H109" s="40" t="n"/>
      <c r="I109" s="39" t="n"/>
      <c r="J109" s="13">
        <f>IF(N(F109)&gt;0,G109/F109,"")</f>
        <v/>
      </c>
      <c r="K109" s="10">
        <f>IF(N(G109)&gt;0,E109/G109,"")</f>
        <v/>
      </c>
      <c r="L109" s="10">
        <f>IF(N(H109)&gt;0,E109/H109,"")</f>
        <v/>
      </c>
      <c r="M109" s="11">
        <f>IF(N(E109)&gt;0,I109/E109,"")</f>
        <v/>
      </c>
      <c r="N109" s="10">
        <f>IF(AND(E109="",I109=""),"",N(I109)*(1-COM-COM_SHOP)-N(E109)*(1+IMP_META))</f>
        <v/>
      </c>
      <c r="O109" s="37" t="n"/>
    </row>
    <row r="110">
      <c r="A110" s="36" t="n"/>
      <c r="B110" s="37" t="n"/>
      <c r="C110" s="37" t="n"/>
      <c r="D110" s="38">
        <f>IF(C110="","",IFERROR(INDEX(Anuncios!$B$6:$B$65,MATCH(C110,Anuncios!$A$6:$A$65,0)),"(no está en Anuncios)"))</f>
        <v/>
      </c>
      <c r="E110" s="39" t="n"/>
      <c r="F110" s="40" t="n"/>
      <c r="G110" s="40" t="n"/>
      <c r="H110" s="40" t="n"/>
      <c r="I110" s="39" t="n"/>
      <c r="J110" s="13">
        <f>IF(N(F110)&gt;0,G110/F110,"")</f>
        <v/>
      </c>
      <c r="K110" s="10">
        <f>IF(N(G110)&gt;0,E110/G110,"")</f>
        <v/>
      </c>
      <c r="L110" s="10">
        <f>IF(N(H110)&gt;0,E110/H110,"")</f>
        <v/>
      </c>
      <c r="M110" s="11">
        <f>IF(N(E110)&gt;0,I110/E110,"")</f>
        <v/>
      </c>
      <c r="N110" s="10">
        <f>IF(AND(E110="",I110=""),"",N(I110)*(1-COM-COM_SHOP)-N(E110)*(1+IMP_META))</f>
        <v/>
      </c>
      <c r="O110" s="37" t="n"/>
    </row>
    <row r="111">
      <c r="A111" s="36" t="n"/>
      <c r="B111" s="37" t="n"/>
      <c r="C111" s="37" t="n"/>
      <c r="D111" s="38">
        <f>IF(C111="","",IFERROR(INDEX(Anuncios!$B$6:$B$65,MATCH(C111,Anuncios!$A$6:$A$65,0)),"(no está en Anuncios)"))</f>
        <v/>
      </c>
      <c r="E111" s="39" t="n"/>
      <c r="F111" s="40" t="n"/>
      <c r="G111" s="40" t="n"/>
      <c r="H111" s="40" t="n"/>
      <c r="I111" s="39" t="n"/>
      <c r="J111" s="13">
        <f>IF(N(F111)&gt;0,G111/F111,"")</f>
        <v/>
      </c>
      <c r="K111" s="10">
        <f>IF(N(G111)&gt;0,E111/G111,"")</f>
        <v/>
      </c>
      <c r="L111" s="10">
        <f>IF(N(H111)&gt;0,E111/H111,"")</f>
        <v/>
      </c>
      <c r="M111" s="11">
        <f>IF(N(E111)&gt;0,I111/E111,"")</f>
        <v/>
      </c>
      <c r="N111" s="10">
        <f>IF(AND(E111="",I111=""),"",N(I111)*(1-COM-COM_SHOP)-N(E111)*(1+IMP_META))</f>
        <v/>
      </c>
      <c r="O111" s="37" t="n"/>
    </row>
    <row r="112">
      <c r="A112" s="36" t="n"/>
      <c r="B112" s="37" t="n"/>
      <c r="C112" s="37" t="n"/>
      <c r="D112" s="38">
        <f>IF(C112="","",IFERROR(INDEX(Anuncios!$B$6:$B$65,MATCH(C112,Anuncios!$A$6:$A$65,0)),"(no está en Anuncios)"))</f>
        <v/>
      </c>
      <c r="E112" s="39" t="n"/>
      <c r="F112" s="40" t="n"/>
      <c r="G112" s="40" t="n"/>
      <c r="H112" s="40" t="n"/>
      <c r="I112" s="39" t="n"/>
      <c r="J112" s="13">
        <f>IF(N(F112)&gt;0,G112/F112,"")</f>
        <v/>
      </c>
      <c r="K112" s="10">
        <f>IF(N(G112)&gt;0,E112/G112,"")</f>
        <v/>
      </c>
      <c r="L112" s="10">
        <f>IF(N(H112)&gt;0,E112/H112,"")</f>
        <v/>
      </c>
      <c r="M112" s="11">
        <f>IF(N(E112)&gt;0,I112/E112,"")</f>
        <v/>
      </c>
      <c r="N112" s="10">
        <f>IF(AND(E112="",I112=""),"",N(I112)*(1-COM-COM_SHOP)-N(E112)*(1+IMP_META))</f>
        <v/>
      </c>
      <c r="O112" s="37" t="n"/>
    </row>
    <row r="113">
      <c r="A113" s="36" t="n"/>
      <c r="B113" s="37" t="n"/>
      <c r="C113" s="37" t="n"/>
      <c r="D113" s="38">
        <f>IF(C113="","",IFERROR(INDEX(Anuncios!$B$6:$B$65,MATCH(C113,Anuncios!$A$6:$A$65,0)),"(no está en Anuncios)"))</f>
        <v/>
      </c>
      <c r="E113" s="39" t="n"/>
      <c r="F113" s="40" t="n"/>
      <c r="G113" s="40" t="n"/>
      <c r="H113" s="40" t="n"/>
      <c r="I113" s="39" t="n"/>
      <c r="J113" s="13">
        <f>IF(N(F113)&gt;0,G113/F113,"")</f>
        <v/>
      </c>
      <c r="K113" s="10">
        <f>IF(N(G113)&gt;0,E113/G113,"")</f>
        <v/>
      </c>
      <c r="L113" s="10">
        <f>IF(N(H113)&gt;0,E113/H113,"")</f>
        <v/>
      </c>
      <c r="M113" s="11">
        <f>IF(N(E113)&gt;0,I113/E113,"")</f>
        <v/>
      </c>
      <c r="N113" s="10">
        <f>IF(AND(E113="",I113=""),"",N(I113)*(1-COM-COM_SHOP)-N(E113)*(1+IMP_META))</f>
        <v/>
      </c>
      <c r="O113" s="37" t="n"/>
    </row>
    <row r="114">
      <c r="A114" s="36" t="n"/>
      <c r="B114" s="37" t="n"/>
      <c r="C114" s="37" t="n"/>
      <c r="D114" s="38">
        <f>IF(C114="","",IFERROR(INDEX(Anuncios!$B$6:$B$65,MATCH(C114,Anuncios!$A$6:$A$65,0)),"(no está en Anuncios)"))</f>
        <v/>
      </c>
      <c r="E114" s="39" t="n"/>
      <c r="F114" s="40" t="n"/>
      <c r="G114" s="40" t="n"/>
      <c r="H114" s="40" t="n"/>
      <c r="I114" s="39" t="n"/>
      <c r="J114" s="13">
        <f>IF(N(F114)&gt;0,G114/F114,"")</f>
        <v/>
      </c>
      <c r="K114" s="10">
        <f>IF(N(G114)&gt;0,E114/G114,"")</f>
        <v/>
      </c>
      <c r="L114" s="10">
        <f>IF(N(H114)&gt;0,E114/H114,"")</f>
        <v/>
      </c>
      <c r="M114" s="11">
        <f>IF(N(E114)&gt;0,I114/E114,"")</f>
        <v/>
      </c>
      <c r="N114" s="10">
        <f>IF(AND(E114="",I114=""),"",N(I114)*(1-COM-COM_SHOP)-N(E114)*(1+IMP_META))</f>
        <v/>
      </c>
      <c r="O114" s="37" t="n"/>
    </row>
    <row r="115">
      <c r="A115" s="36" t="n"/>
      <c r="B115" s="37" t="n"/>
      <c r="C115" s="37" t="n"/>
      <c r="D115" s="38">
        <f>IF(C115="","",IFERROR(INDEX(Anuncios!$B$6:$B$65,MATCH(C115,Anuncios!$A$6:$A$65,0)),"(no está en Anuncios)"))</f>
        <v/>
      </c>
      <c r="E115" s="39" t="n"/>
      <c r="F115" s="40" t="n"/>
      <c r="G115" s="40" t="n"/>
      <c r="H115" s="40" t="n"/>
      <c r="I115" s="39" t="n"/>
      <c r="J115" s="13">
        <f>IF(N(F115)&gt;0,G115/F115,"")</f>
        <v/>
      </c>
      <c r="K115" s="10">
        <f>IF(N(G115)&gt;0,E115/G115,"")</f>
        <v/>
      </c>
      <c r="L115" s="10">
        <f>IF(N(H115)&gt;0,E115/H115,"")</f>
        <v/>
      </c>
      <c r="M115" s="11">
        <f>IF(N(E115)&gt;0,I115/E115,"")</f>
        <v/>
      </c>
      <c r="N115" s="10">
        <f>IF(AND(E115="",I115=""),"",N(I115)*(1-COM-COM_SHOP)-N(E115)*(1+IMP_META))</f>
        <v/>
      </c>
      <c r="O115" s="37" t="n"/>
    </row>
    <row r="116">
      <c r="A116" s="36" t="n"/>
      <c r="B116" s="37" t="n"/>
      <c r="C116" s="37" t="n"/>
      <c r="D116" s="38">
        <f>IF(C116="","",IFERROR(INDEX(Anuncios!$B$6:$B$65,MATCH(C116,Anuncios!$A$6:$A$65,0)),"(no está en Anuncios)"))</f>
        <v/>
      </c>
      <c r="E116" s="39" t="n"/>
      <c r="F116" s="40" t="n"/>
      <c r="G116" s="40" t="n"/>
      <c r="H116" s="40" t="n"/>
      <c r="I116" s="39" t="n"/>
      <c r="J116" s="13">
        <f>IF(N(F116)&gt;0,G116/F116,"")</f>
        <v/>
      </c>
      <c r="K116" s="10">
        <f>IF(N(G116)&gt;0,E116/G116,"")</f>
        <v/>
      </c>
      <c r="L116" s="10">
        <f>IF(N(H116)&gt;0,E116/H116,"")</f>
        <v/>
      </c>
      <c r="M116" s="11">
        <f>IF(N(E116)&gt;0,I116/E116,"")</f>
        <v/>
      </c>
      <c r="N116" s="10">
        <f>IF(AND(E116="",I116=""),"",N(I116)*(1-COM-COM_SHOP)-N(E116)*(1+IMP_META))</f>
        <v/>
      </c>
      <c r="O116" s="37" t="n"/>
    </row>
    <row r="117">
      <c r="A117" s="36" t="n"/>
      <c r="B117" s="37" t="n"/>
      <c r="C117" s="37" t="n"/>
      <c r="D117" s="38">
        <f>IF(C117="","",IFERROR(INDEX(Anuncios!$B$6:$B$65,MATCH(C117,Anuncios!$A$6:$A$65,0)),"(no está en Anuncios)"))</f>
        <v/>
      </c>
      <c r="E117" s="39" t="n"/>
      <c r="F117" s="40" t="n"/>
      <c r="G117" s="40" t="n"/>
      <c r="H117" s="40" t="n"/>
      <c r="I117" s="39" t="n"/>
      <c r="J117" s="13">
        <f>IF(N(F117)&gt;0,G117/F117,"")</f>
        <v/>
      </c>
      <c r="K117" s="10">
        <f>IF(N(G117)&gt;0,E117/G117,"")</f>
        <v/>
      </c>
      <c r="L117" s="10">
        <f>IF(N(H117)&gt;0,E117/H117,"")</f>
        <v/>
      </c>
      <c r="M117" s="11">
        <f>IF(N(E117)&gt;0,I117/E117,"")</f>
        <v/>
      </c>
      <c r="N117" s="10">
        <f>IF(AND(E117="",I117=""),"",N(I117)*(1-COM-COM_SHOP)-N(E117)*(1+IMP_META))</f>
        <v/>
      </c>
      <c r="O117" s="37" t="n"/>
    </row>
    <row r="118">
      <c r="A118" s="36" t="n"/>
      <c r="B118" s="37" t="n"/>
      <c r="C118" s="37" t="n"/>
      <c r="D118" s="38">
        <f>IF(C118="","",IFERROR(INDEX(Anuncios!$B$6:$B$65,MATCH(C118,Anuncios!$A$6:$A$65,0)),"(no está en Anuncios)"))</f>
        <v/>
      </c>
      <c r="E118" s="39" t="n"/>
      <c r="F118" s="40" t="n"/>
      <c r="G118" s="40" t="n"/>
      <c r="H118" s="40" t="n"/>
      <c r="I118" s="39" t="n"/>
      <c r="J118" s="13">
        <f>IF(N(F118)&gt;0,G118/F118,"")</f>
        <v/>
      </c>
      <c r="K118" s="10">
        <f>IF(N(G118)&gt;0,E118/G118,"")</f>
        <v/>
      </c>
      <c r="L118" s="10">
        <f>IF(N(H118)&gt;0,E118/H118,"")</f>
        <v/>
      </c>
      <c r="M118" s="11">
        <f>IF(N(E118)&gt;0,I118/E118,"")</f>
        <v/>
      </c>
      <c r="N118" s="10">
        <f>IF(AND(E118="",I118=""),"",N(I118)*(1-COM-COM_SHOP)-N(E118)*(1+IMP_META))</f>
        <v/>
      </c>
      <c r="O118" s="37" t="n"/>
    </row>
    <row r="119">
      <c r="A119" s="36" t="n"/>
      <c r="B119" s="37" t="n"/>
      <c r="C119" s="37" t="n"/>
      <c r="D119" s="38">
        <f>IF(C119="","",IFERROR(INDEX(Anuncios!$B$6:$B$65,MATCH(C119,Anuncios!$A$6:$A$65,0)),"(no está en Anuncios)"))</f>
        <v/>
      </c>
      <c r="E119" s="39" t="n"/>
      <c r="F119" s="40" t="n"/>
      <c r="G119" s="40" t="n"/>
      <c r="H119" s="40" t="n"/>
      <c r="I119" s="39" t="n"/>
      <c r="J119" s="13">
        <f>IF(N(F119)&gt;0,G119/F119,"")</f>
        <v/>
      </c>
      <c r="K119" s="10">
        <f>IF(N(G119)&gt;0,E119/G119,"")</f>
        <v/>
      </c>
      <c r="L119" s="10">
        <f>IF(N(H119)&gt;0,E119/H119,"")</f>
        <v/>
      </c>
      <c r="M119" s="11">
        <f>IF(N(E119)&gt;0,I119/E119,"")</f>
        <v/>
      </c>
      <c r="N119" s="10">
        <f>IF(AND(E119="",I119=""),"",N(I119)*(1-COM-COM_SHOP)-N(E119)*(1+IMP_META))</f>
        <v/>
      </c>
      <c r="O119" s="37" t="n"/>
    </row>
    <row r="120">
      <c r="A120" s="36" t="n"/>
      <c r="B120" s="37" t="n"/>
      <c r="C120" s="37" t="n"/>
      <c r="D120" s="38">
        <f>IF(C120="","",IFERROR(INDEX(Anuncios!$B$6:$B$65,MATCH(C120,Anuncios!$A$6:$A$65,0)),"(no está en Anuncios)"))</f>
        <v/>
      </c>
      <c r="E120" s="39" t="n"/>
      <c r="F120" s="40" t="n"/>
      <c r="G120" s="40" t="n"/>
      <c r="H120" s="40" t="n"/>
      <c r="I120" s="39" t="n"/>
      <c r="J120" s="13">
        <f>IF(N(F120)&gt;0,G120/F120,"")</f>
        <v/>
      </c>
      <c r="K120" s="10">
        <f>IF(N(G120)&gt;0,E120/G120,"")</f>
        <v/>
      </c>
      <c r="L120" s="10">
        <f>IF(N(H120)&gt;0,E120/H120,"")</f>
        <v/>
      </c>
      <c r="M120" s="11">
        <f>IF(N(E120)&gt;0,I120/E120,"")</f>
        <v/>
      </c>
      <c r="N120" s="10">
        <f>IF(AND(E120="",I120=""),"",N(I120)*(1-COM-COM_SHOP)-N(E120)*(1+IMP_META))</f>
        <v/>
      </c>
      <c r="O120" s="37" t="n"/>
    </row>
    <row r="121">
      <c r="A121" s="36" t="n"/>
      <c r="B121" s="37" t="n"/>
      <c r="C121" s="37" t="n"/>
      <c r="D121" s="38">
        <f>IF(C121="","",IFERROR(INDEX(Anuncios!$B$6:$B$65,MATCH(C121,Anuncios!$A$6:$A$65,0)),"(no está en Anuncios)"))</f>
        <v/>
      </c>
      <c r="E121" s="39" t="n"/>
      <c r="F121" s="40" t="n"/>
      <c r="G121" s="40" t="n"/>
      <c r="H121" s="40" t="n"/>
      <c r="I121" s="39" t="n"/>
      <c r="J121" s="13">
        <f>IF(N(F121)&gt;0,G121/F121,"")</f>
        <v/>
      </c>
      <c r="K121" s="10">
        <f>IF(N(G121)&gt;0,E121/G121,"")</f>
        <v/>
      </c>
      <c r="L121" s="10">
        <f>IF(N(H121)&gt;0,E121/H121,"")</f>
        <v/>
      </c>
      <c r="M121" s="11">
        <f>IF(N(E121)&gt;0,I121/E121,"")</f>
        <v/>
      </c>
      <c r="N121" s="10">
        <f>IF(AND(E121="",I121=""),"",N(I121)*(1-COM-COM_SHOP)-N(E121)*(1+IMP_META))</f>
        <v/>
      </c>
      <c r="O121" s="37" t="n"/>
    </row>
    <row r="122">
      <c r="A122" s="36" t="n"/>
      <c r="B122" s="37" t="n"/>
      <c r="C122" s="37" t="n"/>
      <c r="D122" s="38">
        <f>IF(C122="","",IFERROR(INDEX(Anuncios!$B$6:$B$65,MATCH(C122,Anuncios!$A$6:$A$65,0)),"(no está en Anuncios)"))</f>
        <v/>
      </c>
      <c r="E122" s="39" t="n"/>
      <c r="F122" s="40" t="n"/>
      <c r="G122" s="40" t="n"/>
      <c r="H122" s="40" t="n"/>
      <c r="I122" s="39" t="n"/>
      <c r="J122" s="13">
        <f>IF(N(F122)&gt;0,G122/F122,"")</f>
        <v/>
      </c>
      <c r="K122" s="10">
        <f>IF(N(G122)&gt;0,E122/G122,"")</f>
        <v/>
      </c>
      <c r="L122" s="10">
        <f>IF(N(H122)&gt;0,E122/H122,"")</f>
        <v/>
      </c>
      <c r="M122" s="11">
        <f>IF(N(E122)&gt;0,I122/E122,"")</f>
        <v/>
      </c>
      <c r="N122" s="10">
        <f>IF(AND(E122="",I122=""),"",N(I122)*(1-COM-COM_SHOP)-N(E122)*(1+IMP_META))</f>
        <v/>
      </c>
      <c r="O122" s="37" t="n"/>
    </row>
    <row r="123">
      <c r="A123" s="36" t="n"/>
      <c r="B123" s="37" t="n"/>
      <c r="C123" s="37" t="n"/>
      <c r="D123" s="38">
        <f>IF(C123="","",IFERROR(INDEX(Anuncios!$B$6:$B$65,MATCH(C123,Anuncios!$A$6:$A$65,0)),"(no está en Anuncios)"))</f>
        <v/>
      </c>
      <c r="E123" s="39" t="n"/>
      <c r="F123" s="40" t="n"/>
      <c r="G123" s="40" t="n"/>
      <c r="H123" s="40" t="n"/>
      <c r="I123" s="39" t="n"/>
      <c r="J123" s="13">
        <f>IF(N(F123)&gt;0,G123/F123,"")</f>
        <v/>
      </c>
      <c r="K123" s="10">
        <f>IF(N(G123)&gt;0,E123/G123,"")</f>
        <v/>
      </c>
      <c r="L123" s="10">
        <f>IF(N(H123)&gt;0,E123/H123,"")</f>
        <v/>
      </c>
      <c r="M123" s="11">
        <f>IF(N(E123)&gt;0,I123/E123,"")</f>
        <v/>
      </c>
      <c r="N123" s="10">
        <f>IF(AND(E123="",I123=""),"",N(I123)*(1-COM-COM_SHOP)-N(E123)*(1+IMP_META))</f>
        <v/>
      </c>
      <c r="O123" s="37" t="n"/>
    </row>
    <row r="124">
      <c r="A124" s="36" t="n"/>
      <c r="B124" s="37" t="n"/>
      <c r="C124" s="37" t="n"/>
      <c r="D124" s="38">
        <f>IF(C124="","",IFERROR(INDEX(Anuncios!$B$6:$B$65,MATCH(C124,Anuncios!$A$6:$A$65,0)),"(no está en Anuncios)"))</f>
        <v/>
      </c>
      <c r="E124" s="39" t="n"/>
      <c r="F124" s="40" t="n"/>
      <c r="G124" s="40" t="n"/>
      <c r="H124" s="40" t="n"/>
      <c r="I124" s="39" t="n"/>
      <c r="J124" s="13">
        <f>IF(N(F124)&gt;0,G124/F124,"")</f>
        <v/>
      </c>
      <c r="K124" s="10">
        <f>IF(N(G124)&gt;0,E124/G124,"")</f>
        <v/>
      </c>
      <c r="L124" s="10">
        <f>IF(N(H124)&gt;0,E124/H124,"")</f>
        <v/>
      </c>
      <c r="M124" s="11">
        <f>IF(N(E124)&gt;0,I124/E124,"")</f>
        <v/>
      </c>
      <c r="N124" s="10">
        <f>IF(AND(E124="",I124=""),"",N(I124)*(1-COM-COM_SHOP)-N(E124)*(1+IMP_META))</f>
        <v/>
      </c>
      <c r="O124" s="37" t="n"/>
    </row>
    <row r="125">
      <c r="A125" s="36" t="n"/>
      <c r="B125" s="37" t="n"/>
      <c r="C125" s="37" t="n"/>
      <c r="D125" s="38">
        <f>IF(C125="","",IFERROR(INDEX(Anuncios!$B$6:$B$65,MATCH(C125,Anuncios!$A$6:$A$65,0)),"(no está en Anuncios)"))</f>
        <v/>
      </c>
      <c r="E125" s="39" t="n"/>
      <c r="F125" s="40" t="n"/>
      <c r="G125" s="40" t="n"/>
      <c r="H125" s="40" t="n"/>
      <c r="I125" s="39" t="n"/>
      <c r="J125" s="13">
        <f>IF(N(F125)&gt;0,G125/F125,"")</f>
        <v/>
      </c>
      <c r="K125" s="10">
        <f>IF(N(G125)&gt;0,E125/G125,"")</f>
        <v/>
      </c>
      <c r="L125" s="10">
        <f>IF(N(H125)&gt;0,E125/H125,"")</f>
        <v/>
      </c>
      <c r="M125" s="11">
        <f>IF(N(E125)&gt;0,I125/E125,"")</f>
        <v/>
      </c>
      <c r="N125" s="10">
        <f>IF(AND(E125="",I125=""),"",N(I125)*(1-COM-COM_SHOP)-N(E125)*(1+IMP_META))</f>
        <v/>
      </c>
      <c r="O125" s="37" t="n"/>
    </row>
    <row r="126">
      <c r="A126" s="36" t="n"/>
      <c r="B126" s="37" t="n"/>
      <c r="C126" s="37" t="n"/>
      <c r="D126" s="38">
        <f>IF(C126="","",IFERROR(INDEX(Anuncios!$B$6:$B$65,MATCH(C126,Anuncios!$A$6:$A$65,0)),"(no está en Anuncios)"))</f>
        <v/>
      </c>
      <c r="E126" s="39" t="n"/>
      <c r="F126" s="40" t="n"/>
      <c r="G126" s="40" t="n"/>
      <c r="H126" s="40" t="n"/>
      <c r="I126" s="39" t="n"/>
      <c r="J126" s="13">
        <f>IF(N(F126)&gt;0,G126/F126,"")</f>
        <v/>
      </c>
      <c r="K126" s="10">
        <f>IF(N(G126)&gt;0,E126/G126,"")</f>
        <v/>
      </c>
      <c r="L126" s="10">
        <f>IF(N(H126)&gt;0,E126/H126,"")</f>
        <v/>
      </c>
      <c r="M126" s="11">
        <f>IF(N(E126)&gt;0,I126/E126,"")</f>
        <v/>
      </c>
      <c r="N126" s="10">
        <f>IF(AND(E126="",I126=""),"",N(I126)*(1-COM-COM_SHOP)-N(E126)*(1+IMP_META))</f>
        <v/>
      </c>
      <c r="O126" s="37" t="n"/>
    </row>
    <row r="127">
      <c r="A127" s="36" t="n"/>
      <c r="B127" s="37" t="n"/>
      <c r="C127" s="37" t="n"/>
      <c r="D127" s="38">
        <f>IF(C127="","",IFERROR(INDEX(Anuncios!$B$6:$B$65,MATCH(C127,Anuncios!$A$6:$A$65,0)),"(no está en Anuncios)"))</f>
        <v/>
      </c>
      <c r="E127" s="39" t="n"/>
      <c r="F127" s="40" t="n"/>
      <c r="G127" s="40" t="n"/>
      <c r="H127" s="40" t="n"/>
      <c r="I127" s="39" t="n"/>
      <c r="J127" s="13">
        <f>IF(N(F127)&gt;0,G127/F127,"")</f>
        <v/>
      </c>
      <c r="K127" s="10">
        <f>IF(N(G127)&gt;0,E127/G127,"")</f>
        <v/>
      </c>
      <c r="L127" s="10">
        <f>IF(N(H127)&gt;0,E127/H127,"")</f>
        <v/>
      </c>
      <c r="M127" s="11">
        <f>IF(N(E127)&gt;0,I127/E127,"")</f>
        <v/>
      </c>
      <c r="N127" s="10">
        <f>IF(AND(E127="",I127=""),"",N(I127)*(1-COM-COM_SHOP)-N(E127)*(1+IMP_META))</f>
        <v/>
      </c>
      <c r="O127" s="37" t="n"/>
    </row>
    <row r="128">
      <c r="A128" s="36" t="n"/>
      <c r="B128" s="37" t="n"/>
      <c r="C128" s="37" t="n"/>
      <c r="D128" s="38">
        <f>IF(C128="","",IFERROR(INDEX(Anuncios!$B$6:$B$65,MATCH(C128,Anuncios!$A$6:$A$65,0)),"(no está en Anuncios)"))</f>
        <v/>
      </c>
      <c r="E128" s="39" t="n"/>
      <c r="F128" s="40" t="n"/>
      <c r="G128" s="40" t="n"/>
      <c r="H128" s="40" t="n"/>
      <c r="I128" s="39" t="n"/>
      <c r="J128" s="13">
        <f>IF(N(F128)&gt;0,G128/F128,"")</f>
        <v/>
      </c>
      <c r="K128" s="10">
        <f>IF(N(G128)&gt;0,E128/G128,"")</f>
        <v/>
      </c>
      <c r="L128" s="10">
        <f>IF(N(H128)&gt;0,E128/H128,"")</f>
        <v/>
      </c>
      <c r="M128" s="11">
        <f>IF(N(E128)&gt;0,I128/E128,"")</f>
        <v/>
      </c>
      <c r="N128" s="10">
        <f>IF(AND(E128="",I128=""),"",N(I128)*(1-COM-COM_SHOP)-N(E128)*(1+IMP_META))</f>
        <v/>
      </c>
      <c r="O128" s="37" t="n"/>
    </row>
    <row r="129">
      <c r="A129" s="36" t="n"/>
      <c r="B129" s="37" t="n"/>
      <c r="C129" s="37" t="n"/>
      <c r="D129" s="38">
        <f>IF(C129="","",IFERROR(INDEX(Anuncios!$B$6:$B$65,MATCH(C129,Anuncios!$A$6:$A$65,0)),"(no está en Anuncios)"))</f>
        <v/>
      </c>
      <c r="E129" s="39" t="n"/>
      <c r="F129" s="40" t="n"/>
      <c r="G129" s="40" t="n"/>
      <c r="H129" s="40" t="n"/>
      <c r="I129" s="39" t="n"/>
      <c r="J129" s="13">
        <f>IF(N(F129)&gt;0,G129/F129,"")</f>
        <v/>
      </c>
      <c r="K129" s="10">
        <f>IF(N(G129)&gt;0,E129/G129,"")</f>
        <v/>
      </c>
      <c r="L129" s="10">
        <f>IF(N(H129)&gt;0,E129/H129,"")</f>
        <v/>
      </c>
      <c r="M129" s="11">
        <f>IF(N(E129)&gt;0,I129/E129,"")</f>
        <v/>
      </c>
      <c r="N129" s="10">
        <f>IF(AND(E129="",I129=""),"",N(I129)*(1-COM-COM_SHOP)-N(E129)*(1+IMP_META))</f>
        <v/>
      </c>
      <c r="O129" s="37" t="n"/>
    </row>
    <row r="130">
      <c r="A130" s="36" t="n"/>
      <c r="B130" s="37" t="n"/>
      <c r="C130" s="37" t="n"/>
      <c r="D130" s="38">
        <f>IF(C130="","",IFERROR(INDEX(Anuncios!$B$6:$B$65,MATCH(C130,Anuncios!$A$6:$A$65,0)),"(no está en Anuncios)"))</f>
        <v/>
      </c>
      <c r="E130" s="39" t="n"/>
      <c r="F130" s="40" t="n"/>
      <c r="G130" s="40" t="n"/>
      <c r="H130" s="40" t="n"/>
      <c r="I130" s="39" t="n"/>
      <c r="J130" s="13">
        <f>IF(N(F130)&gt;0,G130/F130,"")</f>
        <v/>
      </c>
      <c r="K130" s="10">
        <f>IF(N(G130)&gt;0,E130/G130,"")</f>
        <v/>
      </c>
      <c r="L130" s="10">
        <f>IF(N(H130)&gt;0,E130/H130,"")</f>
        <v/>
      </c>
      <c r="M130" s="11">
        <f>IF(N(E130)&gt;0,I130/E130,"")</f>
        <v/>
      </c>
      <c r="N130" s="10">
        <f>IF(AND(E130="",I130=""),"",N(I130)*(1-COM-COM_SHOP)-N(E130)*(1+IMP_META))</f>
        <v/>
      </c>
      <c r="O130" s="37" t="n"/>
    </row>
    <row r="131">
      <c r="A131" s="36" t="n"/>
      <c r="B131" s="37" t="n"/>
      <c r="C131" s="37" t="n"/>
      <c r="D131" s="38">
        <f>IF(C131="","",IFERROR(INDEX(Anuncios!$B$6:$B$65,MATCH(C131,Anuncios!$A$6:$A$65,0)),"(no está en Anuncios)"))</f>
        <v/>
      </c>
      <c r="E131" s="39" t="n"/>
      <c r="F131" s="40" t="n"/>
      <c r="G131" s="40" t="n"/>
      <c r="H131" s="40" t="n"/>
      <c r="I131" s="39" t="n"/>
      <c r="J131" s="13">
        <f>IF(N(F131)&gt;0,G131/F131,"")</f>
        <v/>
      </c>
      <c r="K131" s="10">
        <f>IF(N(G131)&gt;0,E131/G131,"")</f>
        <v/>
      </c>
      <c r="L131" s="10">
        <f>IF(N(H131)&gt;0,E131/H131,"")</f>
        <v/>
      </c>
      <c r="M131" s="11">
        <f>IF(N(E131)&gt;0,I131/E131,"")</f>
        <v/>
      </c>
      <c r="N131" s="10">
        <f>IF(AND(E131="",I131=""),"",N(I131)*(1-COM-COM_SHOP)-N(E131)*(1+IMP_META))</f>
        <v/>
      </c>
      <c r="O131" s="37" t="n"/>
    </row>
    <row r="132">
      <c r="A132" s="36" t="n"/>
      <c r="B132" s="37" t="n"/>
      <c r="C132" s="37" t="n"/>
      <c r="D132" s="38">
        <f>IF(C132="","",IFERROR(INDEX(Anuncios!$B$6:$B$65,MATCH(C132,Anuncios!$A$6:$A$65,0)),"(no está en Anuncios)"))</f>
        <v/>
      </c>
      <c r="E132" s="39" t="n"/>
      <c r="F132" s="40" t="n"/>
      <c r="G132" s="40" t="n"/>
      <c r="H132" s="40" t="n"/>
      <c r="I132" s="39" t="n"/>
      <c r="J132" s="13">
        <f>IF(N(F132)&gt;0,G132/F132,"")</f>
        <v/>
      </c>
      <c r="K132" s="10">
        <f>IF(N(G132)&gt;0,E132/G132,"")</f>
        <v/>
      </c>
      <c r="L132" s="10">
        <f>IF(N(H132)&gt;0,E132/H132,"")</f>
        <v/>
      </c>
      <c r="M132" s="11">
        <f>IF(N(E132)&gt;0,I132/E132,"")</f>
        <v/>
      </c>
      <c r="N132" s="10">
        <f>IF(AND(E132="",I132=""),"",N(I132)*(1-COM-COM_SHOP)-N(E132)*(1+IMP_META))</f>
        <v/>
      </c>
      <c r="O132" s="37" t="n"/>
    </row>
    <row r="133">
      <c r="A133" s="36" t="n"/>
      <c r="B133" s="37" t="n"/>
      <c r="C133" s="37" t="n"/>
      <c r="D133" s="38">
        <f>IF(C133="","",IFERROR(INDEX(Anuncios!$B$6:$B$65,MATCH(C133,Anuncios!$A$6:$A$65,0)),"(no está en Anuncios)"))</f>
        <v/>
      </c>
      <c r="E133" s="39" t="n"/>
      <c r="F133" s="40" t="n"/>
      <c r="G133" s="40" t="n"/>
      <c r="H133" s="40" t="n"/>
      <c r="I133" s="39" t="n"/>
      <c r="J133" s="13">
        <f>IF(N(F133)&gt;0,G133/F133,"")</f>
        <v/>
      </c>
      <c r="K133" s="10">
        <f>IF(N(G133)&gt;0,E133/G133,"")</f>
        <v/>
      </c>
      <c r="L133" s="10">
        <f>IF(N(H133)&gt;0,E133/H133,"")</f>
        <v/>
      </c>
      <c r="M133" s="11">
        <f>IF(N(E133)&gt;0,I133/E133,"")</f>
        <v/>
      </c>
      <c r="N133" s="10">
        <f>IF(AND(E133="",I133=""),"",N(I133)*(1-COM-COM_SHOP)-N(E133)*(1+IMP_META))</f>
        <v/>
      </c>
      <c r="O133" s="37" t="n"/>
    </row>
    <row r="134">
      <c r="A134" s="36" t="n"/>
      <c r="B134" s="37" t="n"/>
      <c r="C134" s="37" t="n"/>
      <c r="D134" s="38">
        <f>IF(C134="","",IFERROR(INDEX(Anuncios!$B$6:$B$65,MATCH(C134,Anuncios!$A$6:$A$65,0)),"(no está en Anuncios)"))</f>
        <v/>
      </c>
      <c r="E134" s="39" t="n"/>
      <c r="F134" s="40" t="n"/>
      <c r="G134" s="40" t="n"/>
      <c r="H134" s="40" t="n"/>
      <c r="I134" s="39" t="n"/>
      <c r="J134" s="13">
        <f>IF(N(F134)&gt;0,G134/F134,"")</f>
        <v/>
      </c>
      <c r="K134" s="10">
        <f>IF(N(G134)&gt;0,E134/G134,"")</f>
        <v/>
      </c>
      <c r="L134" s="10">
        <f>IF(N(H134)&gt;0,E134/H134,"")</f>
        <v/>
      </c>
      <c r="M134" s="11">
        <f>IF(N(E134)&gt;0,I134/E134,"")</f>
        <v/>
      </c>
      <c r="N134" s="10">
        <f>IF(AND(E134="",I134=""),"",N(I134)*(1-COM-COM_SHOP)-N(E134)*(1+IMP_META))</f>
        <v/>
      </c>
      <c r="O134" s="37" t="n"/>
    </row>
    <row r="135">
      <c r="A135" s="36" t="n"/>
      <c r="B135" s="37" t="n"/>
      <c r="C135" s="37" t="n"/>
      <c r="D135" s="38">
        <f>IF(C135="","",IFERROR(INDEX(Anuncios!$B$6:$B$65,MATCH(C135,Anuncios!$A$6:$A$65,0)),"(no está en Anuncios)"))</f>
        <v/>
      </c>
      <c r="E135" s="39" t="n"/>
      <c r="F135" s="40" t="n"/>
      <c r="G135" s="40" t="n"/>
      <c r="H135" s="40" t="n"/>
      <c r="I135" s="39" t="n"/>
      <c r="J135" s="13">
        <f>IF(N(F135)&gt;0,G135/F135,"")</f>
        <v/>
      </c>
      <c r="K135" s="10">
        <f>IF(N(G135)&gt;0,E135/G135,"")</f>
        <v/>
      </c>
      <c r="L135" s="10">
        <f>IF(N(H135)&gt;0,E135/H135,"")</f>
        <v/>
      </c>
      <c r="M135" s="11">
        <f>IF(N(E135)&gt;0,I135/E135,"")</f>
        <v/>
      </c>
      <c r="N135" s="10">
        <f>IF(AND(E135="",I135=""),"",N(I135)*(1-COM-COM_SHOP)-N(E135)*(1+IMP_META))</f>
        <v/>
      </c>
      <c r="O135" s="37" t="n"/>
    </row>
    <row r="136">
      <c r="A136" s="36" t="n"/>
      <c r="B136" s="37" t="n"/>
      <c r="C136" s="37" t="n"/>
      <c r="D136" s="38">
        <f>IF(C136="","",IFERROR(INDEX(Anuncios!$B$6:$B$65,MATCH(C136,Anuncios!$A$6:$A$65,0)),"(no está en Anuncios)"))</f>
        <v/>
      </c>
      <c r="E136" s="39" t="n"/>
      <c r="F136" s="40" t="n"/>
      <c r="G136" s="40" t="n"/>
      <c r="H136" s="40" t="n"/>
      <c r="I136" s="39" t="n"/>
      <c r="J136" s="13">
        <f>IF(N(F136)&gt;0,G136/F136,"")</f>
        <v/>
      </c>
      <c r="K136" s="10">
        <f>IF(N(G136)&gt;0,E136/G136,"")</f>
        <v/>
      </c>
      <c r="L136" s="10">
        <f>IF(N(H136)&gt;0,E136/H136,"")</f>
        <v/>
      </c>
      <c r="M136" s="11">
        <f>IF(N(E136)&gt;0,I136/E136,"")</f>
        <v/>
      </c>
      <c r="N136" s="10">
        <f>IF(AND(E136="",I136=""),"",N(I136)*(1-COM-COM_SHOP)-N(E136)*(1+IMP_META))</f>
        <v/>
      </c>
      <c r="O136" s="37" t="n"/>
    </row>
    <row r="137">
      <c r="A137" s="36" t="n"/>
      <c r="B137" s="37" t="n"/>
      <c r="C137" s="37" t="n"/>
      <c r="D137" s="38">
        <f>IF(C137="","",IFERROR(INDEX(Anuncios!$B$6:$B$65,MATCH(C137,Anuncios!$A$6:$A$65,0)),"(no está en Anuncios)"))</f>
        <v/>
      </c>
      <c r="E137" s="39" t="n"/>
      <c r="F137" s="40" t="n"/>
      <c r="G137" s="40" t="n"/>
      <c r="H137" s="40" t="n"/>
      <c r="I137" s="39" t="n"/>
      <c r="J137" s="13">
        <f>IF(N(F137)&gt;0,G137/F137,"")</f>
        <v/>
      </c>
      <c r="K137" s="10">
        <f>IF(N(G137)&gt;0,E137/G137,"")</f>
        <v/>
      </c>
      <c r="L137" s="10">
        <f>IF(N(H137)&gt;0,E137/H137,"")</f>
        <v/>
      </c>
      <c r="M137" s="11">
        <f>IF(N(E137)&gt;0,I137/E137,"")</f>
        <v/>
      </c>
      <c r="N137" s="10">
        <f>IF(AND(E137="",I137=""),"",N(I137)*(1-COM-COM_SHOP)-N(E137)*(1+IMP_META))</f>
        <v/>
      </c>
      <c r="O137" s="37" t="n"/>
    </row>
    <row r="138">
      <c r="A138" s="36" t="n"/>
      <c r="B138" s="37" t="n"/>
      <c r="C138" s="37" t="n"/>
      <c r="D138" s="38">
        <f>IF(C138="","",IFERROR(INDEX(Anuncios!$B$6:$B$65,MATCH(C138,Anuncios!$A$6:$A$65,0)),"(no está en Anuncios)"))</f>
        <v/>
      </c>
      <c r="E138" s="39" t="n"/>
      <c r="F138" s="40" t="n"/>
      <c r="G138" s="40" t="n"/>
      <c r="H138" s="40" t="n"/>
      <c r="I138" s="39" t="n"/>
      <c r="J138" s="13">
        <f>IF(N(F138)&gt;0,G138/F138,"")</f>
        <v/>
      </c>
      <c r="K138" s="10">
        <f>IF(N(G138)&gt;0,E138/G138,"")</f>
        <v/>
      </c>
      <c r="L138" s="10">
        <f>IF(N(H138)&gt;0,E138/H138,"")</f>
        <v/>
      </c>
      <c r="M138" s="11">
        <f>IF(N(E138)&gt;0,I138/E138,"")</f>
        <v/>
      </c>
      <c r="N138" s="10">
        <f>IF(AND(E138="",I138=""),"",N(I138)*(1-COM-COM_SHOP)-N(E138)*(1+IMP_META))</f>
        <v/>
      </c>
      <c r="O138" s="37" t="n"/>
    </row>
    <row r="139">
      <c r="A139" s="36" t="n"/>
      <c r="B139" s="37" t="n"/>
      <c r="C139" s="37" t="n"/>
      <c r="D139" s="38">
        <f>IF(C139="","",IFERROR(INDEX(Anuncios!$B$6:$B$65,MATCH(C139,Anuncios!$A$6:$A$65,0)),"(no está en Anuncios)"))</f>
        <v/>
      </c>
      <c r="E139" s="39" t="n"/>
      <c r="F139" s="40" t="n"/>
      <c r="G139" s="40" t="n"/>
      <c r="H139" s="40" t="n"/>
      <c r="I139" s="39" t="n"/>
      <c r="J139" s="13">
        <f>IF(N(F139)&gt;0,G139/F139,"")</f>
        <v/>
      </c>
      <c r="K139" s="10">
        <f>IF(N(G139)&gt;0,E139/G139,"")</f>
        <v/>
      </c>
      <c r="L139" s="10">
        <f>IF(N(H139)&gt;0,E139/H139,"")</f>
        <v/>
      </c>
      <c r="M139" s="11">
        <f>IF(N(E139)&gt;0,I139/E139,"")</f>
        <v/>
      </c>
      <c r="N139" s="10">
        <f>IF(AND(E139="",I139=""),"",N(I139)*(1-COM-COM_SHOP)-N(E139)*(1+IMP_META))</f>
        <v/>
      </c>
      <c r="O139" s="37" t="n"/>
    </row>
    <row r="140">
      <c r="A140" s="36" t="n"/>
      <c r="B140" s="37" t="n"/>
      <c r="C140" s="37" t="n"/>
      <c r="D140" s="38">
        <f>IF(C140="","",IFERROR(INDEX(Anuncios!$B$6:$B$65,MATCH(C140,Anuncios!$A$6:$A$65,0)),"(no está en Anuncios)"))</f>
        <v/>
      </c>
      <c r="E140" s="39" t="n"/>
      <c r="F140" s="40" t="n"/>
      <c r="G140" s="40" t="n"/>
      <c r="H140" s="40" t="n"/>
      <c r="I140" s="39" t="n"/>
      <c r="J140" s="13">
        <f>IF(N(F140)&gt;0,G140/F140,"")</f>
        <v/>
      </c>
      <c r="K140" s="10">
        <f>IF(N(G140)&gt;0,E140/G140,"")</f>
        <v/>
      </c>
      <c r="L140" s="10">
        <f>IF(N(H140)&gt;0,E140/H140,"")</f>
        <v/>
      </c>
      <c r="M140" s="11">
        <f>IF(N(E140)&gt;0,I140/E140,"")</f>
        <v/>
      </c>
      <c r="N140" s="10">
        <f>IF(AND(E140="",I140=""),"",N(I140)*(1-COM-COM_SHOP)-N(E140)*(1+IMP_META))</f>
        <v/>
      </c>
      <c r="O140" s="37" t="n"/>
    </row>
    <row r="141">
      <c r="A141" s="36" t="n"/>
      <c r="B141" s="37" t="n"/>
      <c r="C141" s="37" t="n"/>
      <c r="D141" s="38">
        <f>IF(C141="","",IFERROR(INDEX(Anuncios!$B$6:$B$65,MATCH(C141,Anuncios!$A$6:$A$65,0)),"(no está en Anuncios)"))</f>
        <v/>
      </c>
      <c r="E141" s="39" t="n"/>
      <c r="F141" s="40" t="n"/>
      <c r="G141" s="40" t="n"/>
      <c r="H141" s="40" t="n"/>
      <c r="I141" s="39" t="n"/>
      <c r="J141" s="13">
        <f>IF(N(F141)&gt;0,G141/F141,"")</f>
        <v/>
      </c>
      <c r="K141" s="10">
        <f>IF(N(G141)&gt;0,E141/G141,"")</f>
        <v/>
      </c>
      <c r="L141" s="10">
        <f>IF(N(H141)&gt;0,E141/H141,"")</f>
        <v/>
      </c>
      <c r="M141" s="11">
        <f>IF(N(E141)&gt;0,I141/E141,"")</f>
        <v/>
      </c>
      <c r="N141" s="10">
        <f>IF(AND(E141="",I141=""),"",N(I141)*(1-COM-COM_SHOP)-N(E141)*(1+IMP_META))</f>
        <v/>
      </c>
      <c r="O141" s="37" t="n"/>
    </row>
    <row r="142">
      <c r="A142" s="36" t="n"/>
      <c r="B142" s="37" t="n"/>
      <c r="C142" s="37" t="n"/>
      <c r="D142" s="38">
        <f>IF(C142="","",IFERROR(INDEX(Anuncios!$B$6:$B$65,MATCH(C142,Anuncios!$A$6:$A$65,0)),"(no está en Anuncios)"))</f>
        <v/>
      </c>
      <c r="E142" s="39" t="n"/>
      <c r="F142" s="40" t="n"/>
      <c r="G142" s="40" t="n"/>
      <c r="H142" s="40" t="n"/>
      <c r="I142" s="39" t="n"/>
      <c r="J142" s="13">
        <f>IF(N(F142)&gt;0,G142/F142,"")</f>
        <v/>
      </c>
      <c r="K142" s="10">
        <f>IF(N(G142)&gt;0,E142/G142,"")</f>
        <v/>
      </c>
      <c r="L142" s="10">
        <f>IF(N(H142)&gt;0,E142/H142,"")</f>
        <v/>
      </c>
      <c r="M142" s="11">
        <f>IF(N(E142)&gt;0,I142/E142,"")</f>
        <v/>
      </c>
      <c r="N142" s="10">
        <f>IF(AND(E142="",I142=""),"",N(I142)*(1-COM-COM_SHOP)-N(E142)*(1+IMP_META))</f>
        <v/>
      </c>
      <c r="O142" s="37" t="n"/>
    </row>
    <row r="143">
      <c r="A143" s="36" t="n"/>
      <c r="B143" s="37" t="n"/>
      <c r="C143" s="37" t="n"/>
      <c r="D143" s="38">
        <f>IF(C143="","",IFERROR(INDEX(Anuncios!$B$6:$B$65,MATCH(C143,Anuncios!$A$6:$A$65,0)),"(no está en Anuncios)"))</f>
        <v/>
      </c>
      <c r="E143" s="39" t="n"/>
      <c r="F143" s="40" t="n"/>
      <c r="G143" s="40" t="n"/>
      <c r="H143" s="40" t="n"/>
      <c r="I143" s="39" t="n"/>
      <c r="J143" s="13">
        <f>IF(N(F143)&gt;0,G143/F143,"")</f>
        <v/>
      </c>
      <c r="K143" s="10">
        <f>IF(N(G143)&gt;0,E143/G143,"")</f>
        <v/>
      </c>
      <c r="L143" s="10">
        <f>IF(N(H143)&gt;0,E143/H143,"")</f>
        <v/>
      </c>
      <c r="M143" s="11">
        <f>IF(N(E143)&gt;0,I143/E143,"")</f>
        <v/>
      </c>
      <c r="N143" s="10">
        <f>IF(AND(E143="",I143=""),"",N(I143)*(1-COM-COM_SHOP)-N(E143)*(1+IMP_META))</f>
        <v/>
      </c>
      <c r="O143" s="37" t="n"/>
    </row>
    <row r="144">
      <c r="A144" s="36" t="n"/>
      <c r="B144" s="37" t="n"/>
      <c r="C144" s="37" t="n"/>
      <c r="D144" s="38">
        <f>IF(C144="","",IFERROR(INDEX(Anuncios!$B$6:$B$65,MATCH(C144,Anuncios!$A$6:$A$65,0)),"(no está en Anuncios)"))</f>
        <v/>
      </c>
      <c r="E144" s="39" t="n"/>
      <c r="F144" s="40" t="n"/>
      <c r="G144" s="40" t="n"/>
      <c r="H144" s="40" t="n"/>
      <c r="I144" s="39" t="n"/>
      <c r="J144" s="13">
        <f>IF(N(F144)&gt;0,G144/F144,"")</f>
        <v/>
      </c>
      <c r="K144" s="10">
        <f>IF(N(G144)&gt;0,E144/G144,"")</f>
        <v/>
      </c>
      <c r="L144" s="10">
        <f>IF(N(H144)&gt;0,E144/H144,"")</f>
        <v/>
      </c>
      <c r="M144" s="11">
        <f>IF(N(E144)&gt;0,I144/E144,"")</f>
        <v/>
      </c>
      <c r="N144" s="10">
        <f>IF(AND(E144="",I144=""),"",N(I144)*(1-COM-COM_SHOP)-N(E144)*(1+IMP_META))</f>
        <v/>
      </c>
      <c r="O144" s="37" t="n"/>
    </row>
    <row r="145">
      <c r="A145" s="36" t="n"/>
      <c r="B145" s="37" t="n"/>
      <c r="C145" s="37" t="n"/>
      <c r="D145" s="38">
        <f>IF(C145="","",IFERROR(INDEX(Anuncios!$B$6:$B$65,MATCH(C145,Anuncios!$A$6:$A$65,0)),"(no está en Anuncios)"))</f>
        <v/>
      </c>
      <c r="E145" s="39" t="n"/>
      <c r="F145" s="40" t="n"/>
      <c r="G145" s="40" t="n"/>
      <c r="H145" s="40" t="n"/>
      <c r="I145" s="39" t="n"/>
      <c r="J145" s="13">
        <f>IF(N(F145)&gt;0,G145/F145,"")</f>
        <v/>
      </c>
      <c r="K145" s="10">
        <f>IF(N(G145)&gt;0,E145/G145,"")</f>
        <v/>
      </c>
      <c r="L145" s="10">
        <f>IF(N(H145)&gt;0,E145/H145,"")</f>
        <v/>
      </c>
      <c r="M145" s="11">
        <f>IF(N(E145)&gt;0,I145/E145,"")</f>
        <v/>
      </c>
      <c r="N145" s="10">
        <f>IF(AND(E145="",I145=""),"",N(I145)*(1-COM-COM_SHOP)-N(E145)*(1+IMP_META))</f>
        <v/>
      </c>
      <c r="O145" s="37" t="n"/>
    </row>
    <row r="146">
      <c r="A146" s="36" t="n"/>
      <c r="B146" s="37" t="n"/>
      <c r="C146" s="37" t="n"/>
      <c r="D146" s="38">
        <f>IF(C146="","",IFERROR(INDEX(Anuncios!$B$6:$B$65,MATCH(C146,Anuncios!$A$6:$A$65,0)),"(no está en Anuncios)"))</f>
        <v/>
      </c>
      <c r="E146" s="39" t="n"/>
      <c r="F146" s="40" t="n"/>
      <c r="G146" s="40" t="n"/>
      <c r="H146" s="40" t="n"/>
      <c r="I146" s="39" t="n"/>
      <c r="J146" s="13">
        <f>IF(N(F146)&gt;0,G146/F146,"")</f>
        <v/>
      </c>
      <c r="K146" s="10">
        <f>IF(N(G146)&gt;0,E146/G146,"")</f>
        <v/>
      </c>
      <c r="L146" s="10">
        <f>IF(N(H146)&gt;0,E146/H146,"")</f>
        <v/>
      </c>
      <c r="M146" s="11">
        <f>IF(N(E146)&gt;0,I146/E146,"")</f>
        <v/>
      </c>
      <c r="N146" s="10">
        <f>IF(AND(E146="",I146=""),"",N(I146)*(1-COM-COM_SHOP)-N(E146)*(1+IMP_META))</f>
        <v/>
      </c>
      <c r="O146" s="37" t="n"/>
    </row>
    <row r="147">
      <c r="A147" s="36" t="n"/>
      <c r="B147" s="37" t="n"/>
      <c r="C147" s="37" t="n"/>
      <c r="D147" s="38">
        <f>IF(C147="","",IFERROR(INDEX(Anuncios!$B$6:$B$65,MATCH(C147,Anuncios!$A$6:$A$65,0)),"(no está en Anuncios)"))</f>
        <v/>
      </c>
      <c r="E147" s="39" t="n"/>
      <c r="F147" s="40" t="n"/>
      <c r="G147" s="40" t="n"/>
      <c r="H147" s="40" t="n"/>
      <c r="I147" s="39" t="n"/>
      <c r="J147" s="13">
        <f>IF(N(F147)&gt;0,G147/F147,"")</f>
        <v/>
      </c>
      <c r="K147" s="10">
        <f>IF(N(G147)&gt;0,E147/G147,"")</f>
        <v/>
      </c>
      <c r="L147" s="10">
        <f>IF(N(H147)&gt;0,E147/H147,"")</f>
        <v/>
      </c>
      <c r="M147" s="11">
        <f>IF(N(E147)&gt;0,I147/E147,"")</f>
        <v/>
      </c>
      <c r="N147" s="10">
        <f>IF(AND(E147="",I147=""),"",N(I147)*(1-COM-COM_SHOP)-N(E147)*(1+IMP_META))</f>
        <v/>
      </c>
      <c r="O147" s="37" t="n"/>
    </row>
    <row r="148">
      <c r="A148" s="36" t="n"/>
      <c r="B148" s="37" t="n"/>
      <c r="C148" s="37" t="n"/>
      <c r="D148" s="38">
        <f>IF(C148="","",IFERROR(INDEX(Anuncios!$B$6:$B$65,MATCH(C148,Anuncios!$A$6:$A$65,0)),"(no está en Anuncios)"))</f>
        <v/>
      </c>
      <c r="E148" s="39" t="n"/>
      <c r="F148" s="40" t="n"/>
      <c r="G148" s="40" t="n"/>
      <c r="H148" s="40" t="n"/>
      <c r="I148" s="39" t="n"/>
      <c r="J148" s="13">
        <f>IF(N(F148)&gt;0,G148/F148,"")</f>
        <v/>
      </c>
      <c r="K148" s="10">
        <f>IF(N(G148)&gt;0,E148/G148,"")</f>
        <v/>
      </c>
      <c r="L148" s="10">
        <f>IF(N(H148)&gt;0,E148/H148,"")</f>
        <v/>
      </c>
      <c r="M148" s="11">
        <f>IF(N(E148)&gt;0,I148/E148,"")</f>
        <v/>
      </c>
      <c r="N148" s="10">
        <f>IF(AND(E148="",I148=""),"",N(I148)*(1-COM-COM_SHOP)-N(E148)*(1+IMP_META))</f>
        <v/>
      </c>
      <c r="O148" s="37" t="n"/>
    </row>
    <row r="149">
      <c r="A149" s="36" t="n"/>
      <c r="B149" s="37" t="n"/>
      <c r="C149" s="37" t="n"/>
      <c r="D149" s="38">
        <f>IF(C149="","",IFERROR(INDEX(Anuncios!$B$6:$B$65,MATCH(C149,Anuncios!$A$6:$A$65,0)),"(no está en Anuncios)"))</f>
        <v/>
      </c>
      <c r="E149" s="39" t="n"/>
      <c r="F149" s="40" t="n"/>
      <c r="G149" s="40" t="n"/>
      <c r="H149" s="40" t="n"/>
      <c r="I149" s="39" t="n"/>
      <c r="J149" s="13">
        <f>IF(N(F149)&gt;0,G149/F149,"")</f>
        <v/>
      </c>
      <c r="K149" s="10">
        <f>IF(N(G149)&gt;0,E149/G149,"")</f>
        <v/>
      </c>
      <c r="L149" s="10">
        <f>IF(N(H149)&gt;0,E149/H149,"")</f>
        <v/>
      </c>
      <c r="M149" s="11">
        <f>IF(N(E149)&gt;0,I149/E149,"")</f>
        <v/>
      </c>
      <c r="N149" s="10">
        <f>IF(AND(E149="",I149=""),"",N(I149)*(1-COM-COM_SHOP)-N(E149)*(1+IMP_META))</f>
        <v/>
      </c>
      <c r="O149" s="37" t="n"/>
    </row>
    <row r="150">
      <c r="A150" s="36" t="n"/>
      <c r="B150" s="37" t="n"/>
      <c r="C150" s="37" t="n"/>
      <c r="D150" s="38">
        <f>IF(C150="","",IFERROR(INDEX(Anuncios!$B$6:$B$65,MATCH(C150,Anuncios!$A$6:$A$65,0)),"(no está en Anuncios)"))</f>
        <v/>
      </c>
      <c r="E150" s="39" t="n"/>
      <c r="F150" s="40" t="n"/>
      <c r="G150" s="40" t="n"/>
      <c r="H150" s="40" t="n"/>
      <c r="I150" s="39" t="n"/>
      <c r="J150" s="13">
        <f>IF(N(F150)&gt;0,G150/F150,"")</f>
        <v/>
      </c>
      <c r="K150" s="10">
        <f>IF(N(G150)&gt;0,E150/G150,"")</f>
        <v/>
      </c>
      <c r="L150" s="10">
        <f>IF(N(H150)&gt;0,E150/H150,"")</f>
        <v/>
      </c>
      <c r="M150" s="11">
        <f>IF(N(E150)&gt;0,I150/E150,"")</f>
        <v/>
      </c>
      <c r="N150" s="10">
        <f>IF(AND(E150="",I150=""),"",N(I150)*(1-COM-COM_SHOP)-N(E150)*(1+IMP_META))</f>
        <v/>
      </c>
      <c r="O150" s="37" t="n"/>
    </row>
    <row r="151">
      <c r="A151" s="36" t="n"/>
      <c r="B151" s="37" t="n"/>
      <c r="C151" s="37" t="n"/>
      <c r="D151" s="38">
        <f>IF(C151="","",IFERROR(INDEX(Anuncios!$B$6:$B$65,MATCH(C151,Anuncios!$A$6:$A$65,0)),"(no está en Anuncios)"))</f>
        <v/>
      </c>
      <c r="E151" s="39" t="n"/>
      <c r="F151" s="40" t="n"/>
      <c r="G151" s="40" t="n"/>
      <c r="H151" s="40" t="n"/>
      <c r="I151" s="39" t="n"/>
      <c r="J151" s="13">
        <f>IF(N(F151)&gt;0,G151/F151,"")</f>
        <v/>
      </c>
      <c r="K151" s="10">
        <f>IF(N(G151)&gt;0,E151/G151,"")</f>
        <v/>
      </c>
      <c r="L151" s="10">
        <f>IF(N(H151)&gt;0,E151/H151,"")</f>
        <v/>
      </c>
      <c r="M151" s="11">
        <f>IF(N(E151)&gt;0,I151/E151,"")</f>
        <v/>
      </c>
      <c r="N151" s="10">
        <f>IF(AND(E151="",I151=""),"",N(I151)*(1-COM-COM_SHOP)-N(E151)*(1+IMP_META))</f>
        <v/>
      </c>
      <c r="O151" s="37" t="n"/>
    </row>
    <row r="152">
      <c r="A152" s="36" t="n"/>
      <c r="B152" s="37" t="n"/>
      <c r="C152" s="37" t="n"/>
      <c r="D152" s="38">
        <f>IF(C152="","",IFERROR(INDEX(Anuncios!$B$6:$B$65,MATCH(C152,Anuncios!$A$6:$A$65,0)),"(no está en Anuncios)"))</f>
        <v/>
      </c>
      <c r="E152" s="39" t="n"/>
      <c r="F152" s="40" t="n"/>
      <c r="G152" s="40" t="n"/>
      <c r="H152" s="40" t="n"/>
      <c r="I152" s="39" t="n"/>
      <c r="J152" s="13">
        <f>IF(N(F152)&gt;0,G152/F152,"")</f>
        <v/>
      </c>
      <c r="K152" s="10">
        <f>IF(N(G152)&gt;0,E152/G152,"")</f>
        <v/>
      </c>
      <c r="L152" s="10">
        <f>IF(N(H152)&gt;0,E152/H152,"")</f>
        <v/>
      </c>
      <c r="M152" s="11">
        <f>IF(N(E152)&gt;0,I152/E152,"")</f>
        <v/>
      </c>
      <c r="N152" s="10">
        <f>IF(AND(E152="",I152=""),"",N(I152)*(1-COM-COM_SHOP)-N(E152)*(1+IMP_META))</f>
        <v/>
      </c>
      <c r="O152" s="37" t="n"/>
    </row>
    <row r="153">
      <c r="A153" s="36" t="n"/>
      <c r="B153" s="37" t="n"/>
      <c r="C153" s="37" t="n"/>
      <c r="D153" s="38">
        <f>IF(C153="","",IFERROR(INDEX(Anuncios!$B$6:$B$65,MATCH(C153,Anuncios!$A$6:$A$65,0)),"(no está en Anuncios)"))</f>
        <v/>
      </c>
      <c r="E153" s="39" t="n"/>
      <c r="F153" s="40" t="n"/>
      <c r="G153" s="40" t="n"/>
      <c r="H153" s="40" t="n"/>
      <c r="I153" s="39" t="n"/>
      <c r="J153" s="13">
        <f>IF(N(F153)&gt;0,G153/F153,"")</f>
        <v/>
      </c>
      <c r="K153" s="10">
        <f>IF(N(G153)&gt;0,E153/G153,"")</f>
        <v/>
      </c>
      <c r="L153" s="10">
        <f>IF(N(H153)&gt;0,E153/H153,"")</f>
        <v/>
      </c>
      <c r="M153" s="11">
        <f>IF(N(E153)&gt;0,I153/E153,"")</f>
        <v/>
      </c>
      <c r="N153" s="10">
        <f>IF(AND(E153="",I153=""),"",N(I153)*(1-COM-COM_SHOP)-N(E153)*(1+IMP_META))</f>
        <v/>
      </c>
      <c r="O153" s="37" t="n"/>
    </row>
    <row r="154">
      <c r="A154" s="36" t="n"/>
      <c r="B154" s="37" t="n"/>
      <c r="C154" s="37" t="n"/>
      <c r="D154" s="38">
        <f>IF(C154="","",IFERROR(INDEX(Anuncios!$B$6:$B$65,MATCH(C154,Anuncios!$A$6:$A$65,0)),"(no está en Anuncios)"))</f>
        <v/>
      </c>
      <c r="E154" s="39" t="n"/>
      <c r="F154" s="40" t="n"/>
      <c r="G154" s="40" t="n"/>
      <c r="H154" s="40" t="n"/>
      <c r="I154" s="39" t="n"/>
      <c r="J154" s="13">
        <f>IF(N(F154)&gt;0,G154/F154,"")</f>
        <v/>
      </c>
      <c r="K154" s="10">
        <f>IF(N(G154)&gt;0,E154/G154,"")</f>
        <v/>
      </c>
      <c r="L154" s="10">
        <f>IF(N(H154)&gt;0,E154/H154,"")</f>
        <v/>
      </c>
      <c r="M154" s="11">
        <f>IF(N(E154)&gt;0,I154/E154,"")</f>
        <v/>
      </c>
      <c r="N154" s="10">
        <f>IF(AND(E154="",I154=""),"",N(I154)*(1-COM-COM_SHOP)-N(E154)*(1+IMP_META))</f>
        <v/>
      </c>
      <c r="O154" s="37" t="n"/>
    </row>
    <row r="155">
      <c r="A155" s="36" t="n"/>
      <c r="B155" s="37" t="n"/>
      <c r="C155" s="37" t="n"/>
      <c r="D155" s="38">
        <f>IF(C155="","",IFERROR(INDEX(Anuncios!$B$6:$B$65,MATCH(C155,Anuncios!$A$6:$A$65,0)),"(no está en Anuncios)"))</f>
        <v/>
      </c>
      <c r="E155" s="39" t="n"/>
      <c r="F155" s="40" t="n"/>
      <c r="G155" s="40" t="n"/>
      <c r="H155" s="40" t="n"/>
      <c r="I155" s="39" t="n"/>
      <c r="J155" s="13">
        <f>IF(N(F155)&gt;0,G155/F155,"")</f>
        <v/>
      </c>
      <c r="K155" s="10">
        <f>IF(N(G155)&gt;0,E155/G155,"")</f>
        <v/>
      </c>
      <c r="L155" s="10">
        <f>IF(N(H155)&gt;0,E155/H155,"")</f>
        <v/>
      </c>
      <c r="M155" s="11">
        <f>IF(N(E155)&gt;0,I155/E155,"")</f>
        <v/>
      </c>
      <c r="N155" s="10">
        <f>IF(AND(E155="",I155=""),"",N(I155)*(1-COM-COM_SHOP)-N(E155)*(1+IMP_META))</f>
        <v/>
      </c>
      <c r="O155" s="37" t="n"/>
    </row>
    <row r="156">
      <c r="A156" s="36" t="n"/>
      <c r="B156" s="37" t="n"/>
      <c r="C156" s="37" t="n"/>
      <c r="D156" s="38">
        <f>IF(C156="","",IFERROR(INDEX(Anuncios!$B$6:$B$65,MATCH(C156,Anuncios!$A$6:$A$65,0)),"(no está en Anuncios)"))</f>
        <v/>
      </c>
      <c r="E156" s="39" t="n"/>
      <c r="F156" s="40" t="n"/>
      <c r="G156" s="40" t="n"/>
      <c r="H156" s="40" t="n"/>
      <c r="I156" s="39" t="n"/>
      <c r="J156" s="13">
        <f>IF(N(F156)&gt;0,G156/F156,"")</f>
        <v/>
      </c>
      <c r="K156" s="10">
        <f>IF(N(G156)&gt;0,E156/G156,"")</f>
        <v/>
      </c>
      <c r="L156" s="10">
        <f>IF(N(H156)&gt;0,E156/H156,"")</f>
        <v/>
      </c>
      <c r="M156" s="11">
        <f>IF(N(E156)&gt;0,I156/E156,"")</f>
        <v/>
      </c>
      <c r="N156" s="10">
        <f>IF(AND(E156="",I156=""),"",N(I156)*(1-COM-COM_SHOP)-N(E156)*(1+IMP_META))</f>
        <v/>
      </c>
      <c r="O156" s="37" t="n"/>
    </row>
    <row r="157">
      <c r="A157" s="36" t="n"/>
      <c r="B157" s="37" t="n"/>
      <c r="C157" s="37" t="n"/>
      <c r="D157" s="38">
        <f>IF(C157="","",IFERROR(INDEX(Anuncios!$B$6:$B$65,MATCH(C157,Anuncios!$A$6:$A$65,0)),"(no está en Anuncios)"))</f>
        <v/>
      </c>
      <c r="E157" s="39" t="n"/>
      <c r="F157" s="40" t="n"/>
      <c r="G157" s="40" t="n"/>
      <c r="H157" s="40" t="n"/>
      <c r="I157" s="39" t="n"/>
      <c r="J157" s="13">
        <f>IF(N(F157)&gt;0,G157/F157,"")</f>
        <v/>
      </c>
      <c r="K157" s="10">
        <f>IF(N(G157)&gt;0,E157/G157,"")</f>
        <v/>
      </c>
      <c r="L157" s="10">
        <f>IF(N(H157)&gt;0,E157/H157,"")</f>
        <v/>
      </c>
      <c r="M157" s="11">
        <f>IF(N(E157)&gt;0,I157/E157,"")</f>
        <v/>
      </c>
      <c r="N157" s="10">
        <f>IF(AND(E157="",I157=""),"",N(I157)*(1-COM-COM_SHOP)-N(E157)*(1+IMP_META))</f>
        <v/>
      </c>
      <c r="O157" s="37" t="n"/>
    </row>
    <row r="158">
      <c r="A158" s="36" t="n"/>
      <c r="B158" s="37" t="n"/>
      <c r="C158" s="37" t="n"/>
      <c r="D158" s="38">
        <f>IF(C158="","",IFERROR(INDEX(Anuncios!$B$6:$B$65,MATCH(C158,Anuncios!$A$6:$A$65,0)),"(no está en Anuncios)"))</f>
        <v/>
      </c>
      <c r="E158" s="39" t="n"/>
      <c r="F158" s="40" t="n"/>
      <c r="G158" s="40" t="n"/>
      <c r="H158" s="40" t="n"/>
      <c r="I158" s="39" t="n"/>
      <c r="J158" s="13">
        <f>IF(N(F158)&gt;0,G158/F158,"")</f>
        <v/>
      </c>
      <c r="K158" s="10">
        <f>IF(N(G158)&gt;0,E158/G158,"")</f>
        <v/>
      </c>
      <c r="L158" s="10">
        <f>IF(N(H158)&gt;0,E158/H158,"")</f>
        <v/>
      </c>
      <c r="M158" s="11">
        <f>IF(N(E158)&gt;0,I158/E158,"")</f>
        <v/>
      </c>
      <c r="N158" s="10">
        <f>IF(AND(E158="",I158=""),"",N(I158)*(1-COM-COM_SHOP)-N(E158)*(1+IMP_META))</f>
        <v/>
      </c>
      <c r="O158" s="37" t="n"/>
    </row>
    <row r="159">
      <c r="A159" s="36" t="n"/>
      <c r="B159" s="37" t="n"/>
      <c r="C159" s="37" t="n"/>
      <c r="D159" s="38">
        <f>IF(C159="","",IFERROR(INDEX(Anuncios!$B$6:$B$65,MATCH(C159,Anuncios!$A$6:$A$65,0)),"(no está en Anuncios)"))</f>
        <v/>
      </c>
      <c r="E159" s="39" t="n"/>
      <c r="F159" s="40" t="n"/>
      <c r="G159" s="40" t="n"/>
      <c r="H159" s="40" t="n"/>
      <c r="I159" s="39" t="n"/>
      <c r="J159" s="13">
        <f>IF(N(F159)&gt;0,G159/F159,"")</f>
        <v/>
      </c>
      <c r="K159" s="10">
        <f>IF(N(G159)&gt;0,E159/G159,"")</f>
        <v/>
      </c>
      <c r="L159" s="10">
        <f>IF(N(H159)&gt;0,E159/H159,"")</f>
        <v/>
      </c>
      <c r="M159" s="11">
        <f>IF(N(E159)&gt;0,I159/E159,"")</f>
        <v/>
      </c>
      <c r="N159" s="10">
        <f>IF(AND(E159="",I159=""),"",N(I159)*(1-COM-COM_SHOP)-N(E159)*(1+IMP_META))</f>
        <v/>
      </c>
      <c r="O159" s="37" t="n"/>
    </row>
    <row r="160">
      <c r="A160" s="36" t="n"/>
      <c r="B160" s="37" t="n"/>
      <c r="C160" s="37" t="n"/>
      <c r="D160" s="38">
        <f>IF(C160="","",IFERROR(INDEX(Anuncios!$B$6:$B$65,MATCH(C160,Anuncios!$A$6:$A$65,0)),"(no está en Anuncios)"))</f>
        <v/>
      </c>
      <c r="E160" s="39" t="n"/>
      <c r="F160" s="40" t="n"/>
      <c r="G160" s="40" t="n"/>
      <c r="H160" s="40" t="n"/>
      <c r="I160" s="39" t="n"/>
      <c r="J160" s="13">
        <f>IF(N(F160)&gt;0,G160/F160,"")</f>
        <v/>
      </c>
      <c r="K160" s="10">
        <f>IF(N(G160)&gt;0,E160/G160,"")</f>
        <v/>
      </c>
      <c r="L160" s="10">
        <f>IF(N(H160)&gt;0,E160/H160,"")</f>
        <v/>
      </c>
      <c r="M160" s="11">
        <f>IF(N(E160)&gt;0,I160/E160,"")</f>
        <v/>
      </c>
      <c r="N160" s="10">
        <f>IF(AND(E160="",I160=""),"",N(I160)*(1-COM-COM_SHOP)-N(E160)*(1+IMP_META))</f>
        <v/>
      </c>
      <c r="O160" s="37" t="n"/>
    </row>
    <row r="161">
      <c r="A161" s="36" t="n"/>
      <c r="B161" s="37" t="n"/>
      <c r="C161" s="37" t="n"/>
      <c r="D161" s="38">
        <f>IF(C161="","",IFERROR(INDEX(Anuncios!$B$6:$B$65,MATCH(C161,Anuncios!$A$6:$A$65,0)),"(no está en Anuncios)"))</f>
        <v/>
      </c>
      <c r="E161" s="39" t="n"/>
      <c r="F161" s="40" t="n"/>
      <c r="G161" s="40" t="n"/>
      <c r="H161" s="40" t="n"/>
      <c r="I161" s="39" t="n"/>
      <c r="J161" s="13">
        <f>IF(N(F161)&gt;0,G161/F161,"")</f>
        <v/>
      </c>
      <c r="K161" s="10">
        <f>IF(N(G161)&gt;0,E161/G161,"")</f>
        <v/>
      </c>
      <c r="L161" s="10">
        <f>IF(N(H161)&gt;0,E161/H161,"")</f>
        <v/>
      </c>
      <c r="M161" s="11">
        <f>IF(N(E161)&gt;0,I161/E161,"")</f>
        <v/>
      </c>
      <c r="N161" s="10">
        <f>IF(AND(E161="",I161=""),"",N(I161)*(1-COM-COM_SHOP)-N(E161)*(1+IMP_META))</f>
        <v/>
      </c>
      <c r="O161" s="37" t="n"/>
    </row>
    <row r="162">
      <c r="A162" s="36" t="n"/>
      <c r="B162" s="37" t="n"/>
      <c r="C162" s="37" t="n"/>
      <c r="D162" s="38">
        <f>IF(C162="","",IFERROR(INDEX(Anuncios!$B$6:$B$65,MATCH(C162,Anuncios!$A$6:$A$65,0)),"(no está en Anuncios)"))</f>
        <v/>
      </c>
      <c r="E162" s="39" t="n"/>
      <c r="F162" s="40" t="n"/>
      <c r="G162" s="40" t="n"/>
      <c r="H162" s="40" t="n"/>
      <c r="I162" s="39" t="n"/>
      <c r="J162" s="13">
        <f>IF(N(F162)&gt;0,G162/F162,"")</f>
        <v/>
      </c>
      <c r="K162" s="10">
        <f>IF(N(G162)&gt;0,E162/G162,"")</f>
        <v/>
      </c>
      <c r="L162" s="10">
        <f>IF(N(H162)&gt;0,E162/H162,"")</f>
        <v/>
      </c>
      <c r="M162" s="11">
        <f>IF(N(E162)&gt;0,I162/E162,"")</f>
        <v/>
      </c>
      <c r="N162" s="10">
        <f>IF(AND(E162="",I162=""),"",N(I162)*(1-COM-COM_SHOP)-N(E162)*(1+IMP_META))</f>
        <v/>
      </c>
      <c r="O162" s="37" t="n"/>
    </row>
    <row r="163">
      <c r="A163" s="36" t="n"/>
      <c r="B163" s="37" t="n"/>
      <c r="C163" s="37" t="n"/>
      <c r="D163" s="38">
        <f>IF(C163="","",IFERROR(INDEX(Anuncios!$B$6:$B$65,MATCH(C163,Anuncios!$A$6:$A$65,0)),"(no está en Anuncios)"))</f>
        <v/>
      </c>
      <c r="E163" s="39" t="n"/>
      <c r="F163" s="40" t="n"/>
      <c r="G163" s="40" t="n"/>
      <c r="H163" s="40" t="n"/>
      <c r="I163" s="39" t="n"/>
      <c r="J163" s="13">
        <f>IF(N(F163)&gt;0,G163/F163,"")</f>
        <v/>
      </c>
      <c r="K163" s="10">
        <f>IF(N(G163)&gt;0,E163/G163,"")</f>
        <v/>
      </c>
      <c r="L163" s="10">
        <f>IF(N(H163)&gt;0,E163/H163,"")</f>
        <v/>
      </c>
      <c r="M163" s="11">
        <f>IF(N(E163)&gt;0,I163/E163,"")</f>
        <v/>
      </c>
      <c r="N163" s="10">
        <f>IF(AND(E163="",I163=""),"",N(I163)*(1-COM-COM_SHOP)-N(E163)*(1+IMP_META))</f>
        <v/>
      </c>
      <c r="O163" s="37" t="n"/>
    </row>
    <row r="164">
      <c r="A164" s="36" t="n"/>
      <c r="B164" s="37" t="n"/>
      <c r="C164" s="37" t="n"/>
      <c r="D164" s="38">
        <f>IF(C164="","",IFERROR(INDEX(Anuncios!$B$6:$B$65,MATCH(C164,Anuncios!$A$6:$A$65,0)),"(no está en Anuncios)"))</f>
        <v/>
      </c>
      <c r="E164" s="39" t="n"/>
      <c r="F164" s="40" t="n"/>
      <c r="G164" s="40" t="n"/>
      <c r="H164" s="40" t="n"/>
      <c r="I164" s="39" t="n"/>
      <c r="J164" s="13">
        <f>IF(N(F164)&gt;0,G164/F164,"")</f>
        <v/>
      </c>
      <c r="K164" s="10">
        <f>IF(N(G164)&gt;0,E164/G164,"")</f>
        <v/>
      </c>
      <c r="L164" s="10">
        <f>IF(N(H164)&gt;0,E164/H164,"")</f>
        <v/>
      </c>
      <c r="M164" s="11">
        <f>IF(N(E164)&gt;0,I164/E164,"")</f>
        <v/>
      </c>
      <c r="N164" s="10">
        <f>IF(AND(E164="",I164=""),"",N(I164)*(1-COM-COM_SHOP)-N(E164)*(1+IMP_META))</f>
        <v/>
      </c>
      <c r="O164" s="37" t="n"/>
    </row>
    <row r="165">
      <c r="A165" s="36" t="n"/>
      <c r="B165" s="37" t="n"/>
      <c r="C165" s="37" t="n"/>
      <c r="D165" s="38">
        <f>IF(C165="","",IFERROR(INDEX(Anuncios!$B$6:$B$65,MATCH(C165,Anuncios!$A$6:$A$65,0)),"(no está en Anuncios)"))</f>
        <v/>
      </c>
      <c r="E165" s="39" t="n"/>
      <c r="F165" s="40" t="n"/>
      <c r="G165" s="40" t="n"/>
      <c r="H165" s="40" t="n"/>
      <c r="I165" s="39" t="n"/>
      <c r="J165" s="13">
        <f>IF(N(F165)&gt;0,G165/F165,"")</f>
        <v/>
      </c>
      <c r="K165" s="10">
        <f>IF(N(G165)&gt;0,E165/G165,"")</f>
        <v/>
      </c>
      <c r="L165" s="10">
        <f>IF(N(H165)&gt;0,E165/H165,"")</f>
        <v/>
      </c>
      <c r="M165" s="11">
        <f>IF(N(E165)&gt;0,I165/E165,"")</f>
        <v/>
      </c>
      <c r="N165" s="10">
        <f>IF(AND(E165="",I165=""),"",N(I165)*(1-COM-COM_SHOP)-N(E165)*(1+IMP_META))</f>
        <v/>
      </c>
      <c r="O165" s="37" t="n"/>
    </row>
    <row r="166">
      <c r="A166" s="36" t="n"/>
      <c r="B166" s="37" t="n"/>
      <c r="C166" s="37" t="n"/>
      <c r="D166" s="38">
        <f>IF(C166="","",IFERROR(INDEX(Anuncios!$B$6:$B$65,MATCH(C166,Anuncios!$A$6:$A$65,0)),"(no está en Anuncios)"))</f>
        <v/>
      </c>
      <c r="E166" s="39" t="n"/>
      <c r="F166" s="40" t="n"/>
      <c r="G166" s="40" t="n"/>
      <c r="H166" s="40" t="n"/>
      <c r="I166" s="39" t="n"/>
      <c r="J166" s="13">
        <f>IF(N(F166)&gt;0,G166/F166,"")</f>
        <v/>
      </c>
      <c r="K166" s="10">
        <f>IF(N(G166)&gt;0,E166/G166,"")</f>
        <v/>
      </c>
      <c r="L166" s="10">
        <f>IF(N(H166)&gt;0,E166/H166,"")</f>
        <v/>
      </c>
      <c r="M166" s="11">
        <f>IF(N(E166)&gt;0,I166/E166,"")</f>
        <v/>
      </c>
      <c r="N166" s="10">
        <f>IF(AND(E166="",I166=""),"",N(I166)*(1-COM-COM_SHOP)-N(E166)*(1+IMP_META))</f>
        <v/>
      </c>
      <c r="O166" s="37" t="n"/>
    </row>
    <row r="167">
      <c r="A167" s="36" t="n"/>
      <c r="B167" s="37" t="n"/>
      <c r="C167" s="37" t="n"/>
      <c r="D167" s="38">
        <f>IF(C167="","",IFERROR(INDEX(Anuncios!$B$6:$B$65,MATCH(C167,Anuncios!$A$6:$A$65,0)),"(no está en Anuncios)"))</f>
        <v/>
      </c>
      <c r="E167" s="39" t="n"/>
      <c r="F167" s="40" t="n"/>
      <c r="G167" s="40" t="n"/>
      <c r="H167" s="40" t="n"/>
      <c r="I167" s="39" t="n"/>
      <c r="J167" s="13">
        <f>IF(N(F167)&gt;0,G167/F167,"")</f>
        <v/>
      </c>
      <c r="K167" s="10">
        <f>IF(N(G167)&gt;0,E167/G167,"")</f>
        <v/>
      </c>
      <c r="L167" s="10">
        <f>IF(N(H167)&gt;0,E167/H167,"")</f>
        <v/>
      </c>
      <c r="M167" s="11">
        <f>IF(N(E167)&gt;0,I167/E167,"")</f>
        <v/>
      </c>
      <c r="N167" s="10">
        <f>IF(AND(E167="",I167=""),"",N(I167)*(1-COM-COM_SHOP)-N(E167)*(1+IMP_META))</f>
        <v/>
      </c>
      <c r="O167" s="37" t="n"/>
    </row>
    <row r="168">
      <c r="A168" s="36" t="n"/>
      <c r="B168" s="37" t="n"/>
      <c r="C168" s="37" t="n"/>
      <c r="D168" s="38">
        <f>IF(C168="","",IFERROR(INDEX(Anuncios!$B$6:$B$65,MATCH(C168,Anuncios!$A$6:$A$65,0)),"(no está en Anuncios)"))</f>
        <v/>
      </c>
      <c r="E168" s="39" t="n"/>
      <c r="F168" s="40" t="n"/>
      <c r="G168" s="40" t="n"/>
      <c r="H168" s="40" t="n"/>
      <c r="I168" s="39" t="n"/>
      <c r="J168" s="13">
        <f>IF(N(F168)&gt;0,G168/F168,"")</f>
        <v/>
      </c>
      <c r="K168" s="10">
        <f>IF(N(G168)&gt;0,E168/G168,"")</f>
        <v/>
      </c>
      <c r="L168" s="10">
        <f>IF(N(H168)&gt;0,E168/H168,"")</f>
        <v/>
      </c>
      <c r="M168" s="11">
        <f>IF(N(E168)&gt;0,I168/E168,"")</f>
        <v/>
      </c>
      <c r="N168" s="10">
        <f>IF(AND(E168="",I168=""),"",N(I168)*(1-COM-COM_SHOP)-N(E168)*(1+IMP_META))</f>
        <v/>
      </c>
      <c r="O168" s="37" t="n"/>
    </row>
    <row r="169">
      <c r="A169" s="36" t="n"/>
      <c r="B169" s="37" t="n"/>
      <c r="C169" s="37" t="n"/>
      <c r="D169" s="38">
        <f>IF(C169="","",IFERROR(INDEX(Anuncios!$B$6:$B$65,MATCH(C169,Anuncios!$A$6:$A$65,0)),"(no está en Anuncios)"))</f>
        <v/>
      </c>
      <c r="E169" s="39" t="n"/>
      <c r="F169" s="40" t="n"/>
      <c r="G169" s="40" t="n"/>
      <c r="H169" s="40" t="n"/>
      <c r="I169" s="39" t="n"/>
      <c r="J169" s="13">
        <f>IF(N(F169)&gt;0,G169/F169,"")</f>
        <v/>
      </c>
      <c r="K169" s="10">
        <f>IF(N(G169)&gt;0,E169/G169,"")</f>
        <v/>
      </c>
      <c r="L169" s="10">
        <f>IF(N(H169)&gt;0,E169/H169,"")</f>
        <v/>
      </c>
      <c r="M169" s="11">
        <f>IF(N(E169)&gt;0,I169/E169,"")</f>
        <v/>
      </c>
      <c r="N169" s="10">
        <f>IF(AND(E169="",I169=""),"",N(I169)*(1-COM-COM_SHOP)-N(E169)*(1+IMP_META))</f>
        <v/>
      </c>
      <c r="O169" s="37" t="n"/>
    </row>
    <row r="170">
      <c r="A170" s="36" t="n"/>
      <c r="B170" s="37" t="n"/>
      <c r="C170" s="37" t="n"/>
      <c r="D170" s="38">
        <f>IF(C170="","",IFERROR(INDEX(Anuncios!$B$6:$B$65,MATCH(C170,Anuncios!$A$6:$A$65,0)),"(no está en Anuncios)"))</f>
        <v/>
      </c>
      <c r="E170" s="39" t="n"/>
      <c r="F170" s="40" t="n"/>
      <c r="G170" s="40" t="n"/>
      <c r="H170" s="40" t="n"/>
      <c r="I170" s="39" t="n"/>
      <c r="J170" s="13">
        <f>IF(N(F170)&gt;0,G170/F170,"")</f>
        <v/>
      </c>
      <c r="K170" s="10">
        <f>IF(N(G170)&gt;0,E170/G170,"")</f>
        <v/>
      </c>
      <c r="L170" s="10">
        <f>IF(N(H170)&gt;0,E170/H170,"")</f>
        <v/>
      </c>
      <c r="M170" s="11">
        <f>IF(N(E170)&gt;0,I170/E170,"")</f>
        <v/>
      </c>
      <c r="N170" s="10">
        <f>IF(AND(E170="",I170=""),"",N(I170)*(1-COM-COM_SHOP)-N(E170)*(1+IMP_META))</f>
        <v/>
      </c>
      <c r="O170" s="37" t="n"/>
    </row>
    <row r="171">
      <c r="A171" s="36" t="n"/>
      <c r="B171" s="37" t="n"/>
      <c r="C171" s="37" t="n"/>
      <c r="D171" s="38">
        <f>IF(C171="","",IFERROR(INDEX(Anuncios!$B$6:$B$65,MATCH(C171,Anuncios!$A$6:$A$65,0)),"(no está en Anuncios)"))</f>
        <v/>
      </c>
      <c r="E171" s="39" t="n"/>
      <c r="F171" s="40" t="n"/>
      <c r="G171" s="40" t="n"/>
      <c r="H171" s="40" t="n"/>
      <c r="I171" s="39" t="n"/>
      <c r="J171" s="13">
        <f>IF(N(F171)&gt;0,G171/F171,"")</f>
        <v/>
      </c>
      <c r="K171" s="10">
        <f>IF(N(G171)&gt;0,E171/G171,"")</f>
        <v/>
      </c>
      <c r="L171" s="10">
        <f>IF(N(H171)&gt;0,E171/H171,"")</f>
        <v/>
      </c>
      <c r="M171" s="11">
        <f>IF(N(E171)&gt;0,I171/E171,"")</f>
        <v/>
      </c>
      <c r="N171" s="10">
        <f>IF(AND(E171="",I171=""),"",N(I171)*(1-COM-COM_SHOP)-N(E171)*(1+IMP_META))</f>
        <v/>
      </c>
      <c r="O171" s="37" t="n"/>
    </row>
    <row r="172">
      <c r="A172" s="36" t="n"/>
      <c r="B172" s="37" t="n"/>
      <c r="C172" s="37" t="n"/>
      <c r="D172" s="38">
        <f>IF(C172="","",IFERROR(INDEX(Anuncios!$B$6:$B$65,MATCH(C172,Anuncios!$A$6:$A$65,0)),"(no está en Anuncios)"))</f>
        <v/>
      </c>
      <c r="E172" s="39" t="n"/>
      <c r="F172" s="40" t="n"/>
      <c r="G172" s="40" t="n"/>
      <c r="H172" s="40" t="n"/>
      <c r="I172" s="39" t="n"/>
      <c r="J172" s="13">
        <f>IF(N(F172)&gt;0,G172/F172,"")</f>
        <v/>
      </c>
      <c r="K172" s="10">
        <f>IF(N(G172)&gt;0,E172/G172,"")</f>
        <v/>
      </c>
      <c r="L172" s="10">
        <f>IF(N(H172)&gt;0,E172/H172,"")</f>
        <v/>
      </c>
      <c r="M172" s="11">
        <f>IF(N(E172)&gt;0,I172/E172,"")</f>
        <v/>
      </c>
      <c r="N172" s="10">
        <f>IF(AND(E172="",I172=""),"",N(I172)*(1-COM-COM_SHOP)-N(E172)*(1+IMP_META))</f>
        <v/>
      </c>
      <c r="O172" s="37" t="n"/>
    </row>
    <row r="173">
      <c r="A173" s="36" t="n"/>
      <c r="B173" s="37" t="n"/>
      <c r="C173" s="37" t="n"/>
      <c r="D173" s="38">
        <f>IF(C173="","",IFERROR(INDEX(Anuncios!$B$6:$B$65,MATCH(C173,Anuncios!$A$6:$A$65,0)),"(no está en Anuncios)"))</f>
        <v/>
      </c>
      <c r="E173" s="39" t="n"/>
      <c r="F173" s="40" t="n"/>
      <c r="G173" s="40" t="n"/>
      <c r="H173" s="40" t="n"/>
      <c r="I173" s="39" t="n"/>
      <c r="J173" s="13">
        <f>IF(N(F173)&gt;0,G173/F173,"")</f>
        <v/>
      </c>
      <c r="K173" s="10">
        <f>IF(N(G173)&gt;0,E173/G173,"")</f>
        <v/>
      </c>
      <c r="L173" s="10">
        <f>IF(N(H173)&gt;0,E173/H173,"")</f>
        <v/>
      </c>
      <c r="M173" s="11">
        <f>IF(N(E173)&gt;0,I173/E173,"")</f>
        <v/>
      </c>
      <c r="N173" s="10">
        <f>IF(AND(E173="",I173=""),"",N(I173)*(1-COM-COM_SHOP)-N(E173)*(1+IMP_META))</f>
        <v/>
      </c>
      <c r="O173" s="37" t="n"/>
    </row>
    <row r="174">
      <c r="A174" s="36" t="n"/>
      <c r="B174" s="37" t="n"/>
      <c r="C174" s="37" t="n"/>
      <c r="D174" s="38">
        <f>IF(C174="","",IFERROR(INDEX(Anuncios!$B$6:$B$65,MATCH(C174,Anuncios!$A$6:$A$65,0)),"(no está en Anuncios)"))</f>
        <v/>
      </c>
      <c r="E174" s="39" t="n"/>
      <c r="F174" s="40" t="n"/>
      <c r="G174" s="40" t="n"/>
      <c r="H174" s="40" t="n"/>
      <c r="I174" s="39" t="n"/>
      <c r="J174" s="13">
        <f>IF(N(F174)&gt;0,G174/F174,"")</f>
        <v/>
      </c>
      <c r="K174" s="10">
        <f>IF(N(G174)&gt;0,E174/G174,"")</f>
        <v/>
      </c>
      <c r="L174" s="10">
        <f>IF(N(H174)&gt;0,E174/H174,"")</f>
        <v/>
      </c>
      <c r="M174" s="11">
        <f>IF(N(E174)&gt;0,I174/E174,"")</f>
        <v/>
      </c>
      <c r="N174" s="10">
        <f>IF(AND(E174="",I174=""),"",N(I174)*(1-COM-COM_SHOP)-N(E174)*(1+IMP_META))</f>
        <v/>
      </c>
      <c r="O174" s="37" t="n"/>
    </row>
    <row r="175">
      <c r="A175" s="36" t="n"/>
      <c r="B175" s="37" t="n"/>
      <c r="C175" s="37" t="n"/>
      <c r="D175" s="38">
        <f>IF(C175="","",IFERROR(INDEX(Anuncios!$B$6:$B$65,MATCH(C175,Anuncios!$A$6:$A$65,0)),"(no está en Anuncios)"))</f>
        <v/>
      </c>
      <c r="E175" s="39" t="n"/>
      <c r="F175" s="40" t="n"/>
      <c r="G175" s="40" t="n"/>
      <c r="H175" s="40" t="n"/>
      <c r="I175" s="39" t="n"/>
      <c r="J175" s="13">
        <f>IF(N(F175)&gt;0,G175/F175,"")</f>
        <v/>
      </c>
      <c r="K175" s="10">
        <f>IF(N(G175)&gt;0,E175/G175,"")</f>
        <v/>
      </c>
      <c r="L175" s="10">
        <f>IF(N(H175)&gt;0,E175/H175,"")</f>
        <v/>
      </c>
      <c r="M175" s="11">
        <f>IF(N(E175)&gt;0,I175/E175,"")</f>
        <v/>
      </c>
      <c r="N175" s="10">
        <f>IF(AND(E175="",I175=""),"",N(I175)*(1-COM-COM_SHOP)-N(E175)*(1+IMP_META))</f>
        <v/>
      </c>
      <c r="O175" s="37" t="n"/>
    </row>
    <row r="176">
      <c r="A176" s="36" t="n"/>
      <c r="B176" s="37" t="n"/>
      <c r="C176" s="37" t="n"/>
      <c r="D176" s="38">
        <f>IF(C176="","",IFERROR(INDEX(Anuncios!$B$6:$B$65,MATCH(C176,Anuncios!$A$6:$A$65,0)),"(no está en Anuncios)"))</f>
        <v/>
      </c>
      <c r="E176" s="39" t="n"/>
      <c r="F176" s="40" t="n"/>
      <c r="G176" s="40" t="n"/>
      <c r="H176" s="40" t="n"/>
      <c r="I176" s="39" t="n"/>
      <c r="J176" s="13">
        <f>IF(N(F176)&gt;0,G176/F176,"")</f>
        <v/>
      </c>
      <c r="K176" s="10">
        <f>IF(N(G176)&gt;0,E176/G176,"")</f>
        <v/>
      </c>
      <c r="L176" s="10">
        <f>IF(N(H176)&gt;0,E176/H176,"")</f>
        <v/>
      </c>
      <c r="M176" s="11">
        <f>IF(N(E176)&gt;0,I176/E176,"")</f>
        <v/>
      </c>
      <c r="N176" s="10">
        <f>IF(AND(E176="",I176=""),"",N(I176)*(1-COM-COM_SHOP)-N(E176)*(1+IMP_META))</f>
        <v/>
      </c>
      <c r="O176" s="37" t="n"/>
    </row>
    <row r="177">
      <c r="A177" s="36" t="n"/>
      <c r="B177" s="37" t="n"/>
      <c r="C177" s="37" t="n"/>
      <c r="D177" s="38">
        <f>IF(C177="","",IFERROR(INDEX(Anuncios!$B$6:$B$65,MATCH(C177,Anuncios!$A$6:$A$65,0)),"(no está en Anuncios)"))</f>
        <v/>
      </c>
      <c r="E177" s="39" t="n"/>
      <c r="F177" s="40" t="n"/>
      <c r="G177" s="40" t="n"/>
      <c r="H177" s="40" t="n"/>
      <c r="I177" s="39" t="n"/>
      <c r="J177" s="13">
        <f>IF(N(F177)&gt;0,G177/F177,"")</f>
        <v/>
      </c>
      <c r="K177" s="10">
        <f>IF(N(G177)&gt;0,E177/G177,"")</f>
        <v/>
      </c>
      <c r="L177" s="10">
        <f>IF(N(H177)&gt;0,E177/H177,"")</f>
        <v/>
      </c>
      <c r="M177" s="11">
        <f>IF(N(E177)&gt;0,I177/E177,"")</f>
        <v/>
      </c>
      <c r="N177" s="10">
        <f>IF(AND(E177="",I177=""),"",N(I177)*(1-COM-COM_SHOP)-N(E177)*(1+IMP_META))</f>
        <v/>
      </c>
      <c r="O177" s="37" t="n"/>
    </row>
    <row r="178">
      <c r="A178" s="36" t="n"/>
      <c r="B178" s="37" t="n"/>
      <c r="C178" s="37" t="n"/>
      <c r="D178" s="38">
        <f>IF(C178="","",IFERROR(INDEX(Anuncios!$B$6:$B$65,MATCH(C178,Anuncios!$A$6:$A$65,0)),"(no está en Anuncios)"))</f>
        <v/>
      </c>
      <c r="E178" s="39" t="n"/>
      <c r="F178" s="40" t="n"/>
      <c r="G178" s="40" t="n"/>
      <c r="H178" s="40" t="n"/>
      <c r="I178" s="39" t="n"/>
      <c r="J178" s="13">
        <f>IF(N(F178)&gt;0,G178/F178,"")</f>
        <v/>
      </c>
      <c r="K178" s="10">
        <f>IF(N(G178)&gt;0,E178/G178,"")</f>
        <v/>
      </c>
      <c r="L178" s="10">
        <f>IF(N(H178)&gt;0,E178/H178,"")</f>
        <v/>
      </c>
      <c r="M178" s="11">
        <f>IF(N(E178)&gt;0,I178/E178,"")</f>
        <v/>
      </c>
      <c r="N178" s="10">
        <f>IF(AND(E178="",I178=""),"",N(I178)*(1-COM-COM_SHOP)-N(E178)*(1+IMP_META))</f>
        <v/>
      </c>
      <c r="O178" s="37" t="n"/>
    </row>
    <row r="179">
      <c r="A179" s="36" t="n"/>
      <c r="B179" s="37" t="n"/>
      <c r="C179" s="37" t="n"/>
      <c r="D179" s="38">
        <f>IF(C179="","",IFERROR(INDEX(Anuncios!$B$6:$B$65,MATCH(C179,Anuncios!$A$6:$A$65,0)),"(no está en Anuncios)"))</f>
        <v/>
      </c>
      <c r="E179" s="39" t="n"/>
      <c r="F179" s="40" t="n"/>
      <c r="G179" s="40" t="n"/>
      <c r="H179" s="40" t="n"/>
      <c r="I179" s="39" t="n"/>
      <c r="J179" s="13">
        <f>IF(N(F179)&gt;0,G179/F179,"")</f>
        <v/>
      </c>
      <c r="K179" s="10">
        <f>IF(N(G179)&gt;0,E179/G179,"")</f>
        <v/>
      </c>
      <c r="L179" s="10">
        <f>IF(N(H179)&gt;0,E179/H179,"")</f>
        <v/>
      </c>
      <c r="M179" s="11">
        <f>IF(N(E179)&gt;0,I179/E179,"")</f>
        <v/>
      </c>
      <c r="N179" s="10">
        <f>IF(AND(E179="",I179=""),"",N(I179)*(1-COM-COM_SHOP)-N(E179)*(1+IMP_META))</f>
        <v/>
      </c>
      <c r="O179" s="37" t="n"/>
    </row>
    <row r="180">
      <c r="A180" s="36" t="n"/>
      <c r="B180" s="37" t="n"/>
      <c r="C180" s="37" t="n"/>
      <c r="D180" s="38">
        <f>IF(C180="","",IFERROR(INDEX(Anuncios!$B$6:$B$65,MATCH(C180,Anuncios!$A$6:$A$65,0)),"(no está en Anuncios)"))</f>
        <v/>
      </c>
      <c r="E180" s="39" t="n"/>
      <c r="F180" s="40" t="n"/>
      <c r="G180" s="40" t="n"/>
      <c r="H180" s="40" t="n"/>
      <c r="I180" s="39" t="n"/>
      <c r="J180" s="13">
        <f>IF(N(F180)&gt;0,G180/F180,"")</f>
        <v/>
      </c>
      <c r="K180" s="10">
        <f>IF(N(G180)&gt;0,E180/G180,"")</f>
        <v/>
      </c>
      <c r="L180" s="10">
        <f>IF(N(H180)&gt;0,E180/H180,"")</f>
        <v/>
      </c>
      <c r="M180" s="11">
        <f>IF(N(E180)&gt;0,I180/E180,"")</f>
        <v/>
      </c>
      <c r="N180" s="10">
        <f>IF(AND(E180="",I180=""),"",N(I180)*(1-COM-COM_SHOP)-N(E180)*(1+IMP_META))</f>
        <v/>
      </c>
      <c r="O180" s="37" t="n"/>
    </row>
    <row r="181">
      <c r="A181" s="36" t="n"/>
      <c r="B181" s="37" t="n"/>
      <c r="C181" s="37" t="n"/>
      <c r="D181" s="38">
        <f>IF(C181="","",IFERROR(INDEX(Anuncios!$B$6:$B$65,MATCH(C181,Anuncios!$A$6:$A$65,0)),"(no está en Anuncios)"))</f>
        <v/>
      </c>
      <c r="E181" s="39" t="n"/>
      <c r="F181" s="40" t="n"/>
      <c r="G181" s="40" t="n"/>
      <c r="H181" s="40" t="n"/>
      <c r="I181" s="39" t="n"/>
      <c r="J181" s="13">
        <f>IF(N(F181)&gt;0,G181/F181,"")</f>
        <v/>
      </c>
      <c r="K181" s="10">
        <f>IF(N(G181)&gt;0,E181/G181,"")</f>
        <v/>
      </c>
      <c r="L181" s="10">
        <f>IF(N(H181)&gt;0,E181/H181,"")</f>
        <v/>
      </c>
      <c r="M181" s="11">
        <f>IF(N(E181)&gt;0,I181/E181,"")</f>
        <v/>
      </c>
      <c r="N181" s="10">
        <f>IF(AND(E181="",I181=""),"",N(I181)*(1-COM-COM_SHOP)-N(E181)*(1+IMP_META))</f>
        <v/>
      </c>
      <c r="O181" s="37" t="n"/>
    </row>
    <row r="182">
      <c r="A182" s="36" t="n"/>
      <c r="B182" s="37" t="n"/>
      <c r="C182" s="37" t="n"/>
      <c r="D182" s="38">
        <f>IF(C182="","",IFERROR(INDEX(Anuncios!$B$6:$B$65,MATCH(C182,Anuncios!$A$6:$A$65,0)),"(no está en Anuncios)"))</f>
        <v/>
      </c>
      <c r="E182" s="39" t="n"/>
      <c r="F182" s="40" t="n"/>
      <c r="G182" s="40" t="n"/>
      <c r="H182" s="40" t="n"/>
      <c r="I182" s="39" t="n"/>
      <c r="J182" s="13">
        <f>IF(N(F182)&gt;0,G182/F182,"")</f>
        <v/>
      </c>
      <c r="K182" s="10">
        <f>IF(N(G182)&gt;0,E182/G182,"")</f>
        <v/>
      </c>
      <c r="L182" s="10">
        <f>IF(N(H182)&gt;0,E182/H182,"")</f>
        <v/>
      </c>
      <c r="M182" s="11">
        <f>IF(N(E182)&gt;0,I182/E182,"")</f>
        <v/>
      </c>
      <c r="N182" s="10">
        <f>IF(AND(E182="",I182=""),"",N(I182)*(1-COM-COM_SHOP)-N(E182)*(1+IMP_META))</f>
        <v/>
      </c>
      <c r="O182" s="37" t="n"/>
    </row>
    <row r="183">
      <c r="A183" s="36" t="n"/>
      <c r="B183" s="37" t="n"/>
      <c r="C183" s="37" t="n"/>
      <c r="D183" s="38">
        <f>IF(C183="","",IFERROR(INDEX(Anuncios!$B$6:$B$65,MATCH(C183,Anuncios!$A$6:$A$65,0)),"(no está en Anuncios)"))</f>
        <v/>
      </c>
      <c r="E183" s="39" t="n"/>
      <c r="F183" s="40" t="n"/>
      <c r="G183" s="40" t="n"/>
      <c r="H183" s="40" t="n"/>
      <c r="I183" s="39" t="n"/>
      <c r="J183" s="13">
        <f>IF(N(F183)&gt;0,G183/F183,"")</f>
        <v/>
      </c>
      <c r="K183" s="10">
        <f>IF(N(G183)&gt;0,E183/G183,"")</f>
        <v/>
      </c>
      <c r="L183" s="10">
        <f>IF(N(H183)&gt;0,E183/H183,"")</f>
        <v/>
      </c>
      <c r="M183" s="11">
        <f>IF(N(E183)&gt;0,I183/E183,"")</f>
        <v/>
      </c>
      <c r="N183" s="10">
        <f>IF(AND(E183="",I183=""),"",N(I183)*(1-COM-COM_SHOP)-N(E183)*(1+IMP_META))</f>
        <v/>
      </c>
      <c r="O183" s="37" t="n"/>
    </row>
    <row r="184">
      <c r="A184" s="36" t="n"/>
      <c r="B184" s="37" t="n"/>
      <c r="C184" s="37" t="n"/>
      <c r="D184" s="38">
        <f>IF(C184="","",IFERROR(INDEX(Anuncios!$B$6:$B$65,MATCH(C184,Anuncios!$A$6:$A$65,0)),"(no está en Anuncios)"))</f>
        <v/>
      </c>
      <c r="E184" s="39" t="n"/>
      <c r="F184" s="40" t="n"/>
      <c r="G184" s="40" t="n"/>
      <c r="H184" s="40" t="n"/>
      <c r="I184" s="39" t="n"/>
      <c r="J184" s="13">
        <f>IF(N(F184)&gt;0,G184/F184,"")</f>
        <v/>
      </c>
      <c r="K184" s="10">
        <f>IF(N(G184)&gt;0,E184/G184,"")</f>
        <v/>
      </c>
      <c r="L184" s="10">
        <f>IF(N(H184)&gt;0,E184/H184,"")</f>
        <v/>
      </c>
      <c r="M184" s="11">
        <f>IF(N(E184)&gt;0,I184/E184,"")</f>
        <v/>
      </c>
      <c r="N184" s="10">
        <f>IF(AND(E184="",I184=""),"",N(I184)*(1-COM-COM_SHOP)-N(E184)*(1+IMP_META))</f>
        <v/>
      </c>
      <c r="O184" s="37" t="n"/>
    </row>
    <row r="185">
      <c r="A185" s="36" t="n"/>
      <c r="B185" s="37" t="n"/>
      <c r="C185" s="37" t="n"/>
      <c r="D185" s="38">
        <f>IF(C185="","",IFERROR(INDEX(Anuncios!$B$6:$B$65,MATCH(C185,Anuncios!$A$6:$A$65,0)),"(no está en Anuncios)"))</f>
        <v/>
      </c>
      <c r="E185" s="39" t="n"/>
      <c r="F185" s="40" t="n"/>
      <c r="G185" s="40" t="n"/>
      <c r="H185" s="40" t="n"/>
      <c r="I185" s="39" t="n"/>
      <c r="J185" s="13">
        <f>IF(N(F185)&gt;0,G185/F185,"")</f>
        <v/>
      </c>
      <c r="K185" s="10">
        <f>IF(N(G185)&gt;0,E185/G185,"")</f>
        <v/>
      </c>
      <c r="L185" s="10">
        <f>IF(N(H185)&gt;0,E185/H185,"")</f>
        <v/>
      </c>
      <c r="M185" s="11">
        <f>IF(N(E185)&gt;0,I185/E185,"")</f>
        <v/>
      </c>
      <c r="N185" s="10">
        <f>IF(AND(E185="",I185=""),"",N(I185)*(1-COM-COM_SHOP)-N(E185)*(1+IMP_META))</f>
        <v/>
      </c>
      <c r="O185" s="37" t="n"/>
    </row>
    <row r="186">
      <c r="A186" s="36" t="n"/>
      <c r="B186" s="37" t="n"/>
      <c r="C186" s="37" t="n"/>
      <c r="D186" s="38">
        <f>IF(C186="","",IFERROR(INDEX(Anuncios!$B$6:$B$65,MATCH(C186,Anuncios!$A$6:$A$65,0)),"(no está en Anuncios)"))</f>
        <v/>
      </c>
      <c r="E186" s="39" t="n"/>
      <c r="F186" s="40" t="n"/>
      <c r="G186" s="40" t="n"/>
      <c r="H186" s="40" t="n"/>
      <c r="I186" s="39" t="n"/>
      <c r="J186" s="13">
        <f>IF(N(F186)&gt;0,G186/F186,"")</f>
        <v/>
      </c>
      <c r="K186" s="10">
        <f>IF(N(G186)&gt;0,E186/G186,"")</f>
        <v/>
      </c>
      <c r="L186" s="10">
        <f>IF(N(H186)&gt;0,E186/H186,"")</f>
        <v/>
      </c>
      <c r="M186" s="11">
        <f>IF(N(E186)&gt;0,I186/E186,"")</f>
        <v/>
      </c>
      <c r="N186" s="10">
        <f>IF(AND(E186="",I186=""),"",N(I186)*(1-COM-COM_SHOP)-N(E186)*(1+IMP_META))</f>
        <v/>
      </c>
      <c r="O186" s="37" t="n"/>
    </row>
    <row r="187">
      <c r="A187" s="36" t="n"/>
      <c r="B187" s="37" t="n"/>
      <c r="C187" s="37" t="n"/>
      <c r="D187" s="38">
        <f>IF(C187="","",IFERROR(INDEX(Anuncios!$B$6:$B$65,MATCH(C187,Anuncios!$A$6:$A$65,0)),"(no está en Anuncios)"))</f>
        <v/>
      </c>
      <c r="E187" s="39" t="n"/>
      <c r="F187" s="40" t="n"/>
      <c r="G187" s="40" t="n"/>
      <c r="H187" s="40" t="n"/>
      <c r="I187" s="39" t="n"/>
      <c r="J187" s="13">
        <f>IF(N(F187)&gt;0,G187/F187,"")</f>
        <v/>
      </c>
      <c r="K187" s="10">
        <f>IF(N(G187)&gt;0,E187/G187,"")</f>
        <v/>
      </c>
      <c r="L187" s="10">
        <f>IF(N(H187)&gt;0,E187/H187,"")</f>
        <v/>
      </c>
      <c r="M187" s="11">
        <f>IF(N(E187)&gt;0,I187/E187,"")</f>
        <v/>
      </c>
      <c r="N187" s="10">
        <f>IF(AND(E187="",I187=""),"",N(I187)*(1-COM-COM_SHOP)-N(E187)*(1+IMP_META))</f>
        <v/>
      </c>
      <c r="O187" s="37" t="n"/>
    </row>
    <row r="188">
      <c r="A188" s="36" t="n"/>
      <c r="B188" s="37" t="n"/>
      <c r="C188" s="37" t="n"/>
      <c r="D188" s="38">
        <f>IF(C188="","",IFERROR(INDEX(Anuncios!$B$6:$B$65,MATCH(C188,Anuncios!$A$6:$A$65,0)),"(no está en Anuncios)"))</f>
        <v/>
      </c>
      <c r="E188" s="39" t="n"/>
      <c r="F188" s="40" t="n"/>
      <c r="G188" s="40" t="n"/>
      <c r="H188" s="40" t="n"/>
      <c r="I188" s="39" t="n"/>
      <c r="J188" s="13">
        <f>IF(N(F188)&gt;0,G188/F188,"")</f>
        <v/>
      </c>
      <c r="K188" s="10">
        <f>IF(N(G188)&gt;0,E188/G188,"")</f>
        <v/>
      </c>
      <c r="L188" s="10">
        <f>IF(N(H188)&gt;0,E188/H188,"")</f>
        <v/>
      </c>
      <c r="M188" s="11">
        <f>IF(N(E188)&gt;0,I188/E188,"")</f>
        <v/>
      </c>
      <c r="N188" s="10">
        <f>IF(AND(E188="",I188=""),"",N(I188)*(1-COM-COM_SHOP)-N(E188)*(1+IMP_META))</f>
        <v/>
      </c>
      <c r="O188" s="37" t="n"/>
    </row>
    <row r="189">
      <c r="A189" s="36" t="n"/>
      <c r="B189" s="37" t="n"/>
      <c r="C189" s="37" t="n"/>
      <c r="D189" s="38">
        <f>IF(C189="","",IFERROR(INDEX(Anuncios!$B$6:$B$65,MATCH(C189,Anuncios!$A$6:$A$65,0)),"(no está en Anuncios)"))</f>
        <v/>
      </c>
      <c r="E189" s="39" t="n"/>
      <c r="F189" s="40" t="n"/>
      <c r="G189" s="40" t="n"/>
      <c r="H189" s="40" t="n"/>
      <c r="I189" s="39" t="n"/>
      <c r="J189" s="13">
        <f>IF(N(F189)&gt;0,G189/F189,"")</f>
        <v/>
      </c>
      <c r="K189" s="10">
        <f>IF(N(G189)&gt;0,E189/G189,"")</f>
        <v/>
      </c>
      <c r="L189" s="10">
        <f>IF(N(H189)&gt;0,E189/H189,"")</f>
        <v/>
      </c>
      <c r="M189" s="11">
        <f>IF(N(E189)&gt;0,I189/E189,"")</f>
        <v/>
      </c>
      <c r="N189" s="10">
        <f>IF(AND(E189="",I189=""),"",N(I189)*(1-COM-COM_SHOP)-N(E189)*(1+IMP_META))</f>
        <v/>
      </c>
      <c r="O189" s="37" t="n"/>
    </row>
    <row r="190">
      <c r="A190" s="36" t="n"/>
      <c r="B190" s="37" t="n"/>
      <c r="C190" s="37" t="n"/>
      <c r="D190" s="38">
        <f>IF(C190="","",IFERROR(INDEX(Anuncios!$B$6:$B$65,MATCH(C190,Anuncios!$A$6:$A$65,0)),"(no está en Anuncios)"))</f>
        <v/>
      </c>
      <c r="E190" s="39" t="n"/>
      <c r="F190" s="40" t="n"/>
      <c r="G190" s="40" t="n"/>
      <c r="H190" s="40" t="n"/>
      <c r="I190" s="39" t="n"/>
      <c r="J190" s="13">
        <f>IF(N(F190)&gt;0,G190/F190,"")</f>
        <v/>
      </c>
      <c r="K190" s="10">
        <f>IF(N(G190)&gt;0,E190/G190,"")</f>
        <v/>
      </c>
      <c r="L190" s="10">
        <f>IF(N(H190)&gt;0,E190/H190,"")</f>
        <v/>
      </c>
      <c r="M190" s="11">
        <f>IF(N(E190)&gt;0,I190/E190,"")</f>
        <v/>
      </c>
      <c r="N190" s="10">
        <f>IF(AND(E190="",I190=""),"",N(I190)*(1-COM-COM_SHOP)-N(E190)*(1+IMP_META))</f>
        <v/>
      </c>
      <c r="O190" s="37" t="n"/>
    </row>
    <row r="191">
      <c r="A191" s="36" t="n"/>
      <c r="B191" s="37" t="n"/>
      <c r="C191" s="37" t="n"/>
      <c r="D191" s="38">
        <f>IF(C191="","",IFERROR(INDEX(Anuncios!$B$6:$B$65,MATCH(C191,Anuncios!$A$6:$A$65,0)),"(no está en Anuncios)"))</f>
        <v/>
      </c>
      <c r="E191" s="39" t="n"/>
      <c r="F191" s="40" t="n"/>
      <c r="G191" s="40" t="n"/>
      <c r="H191" s="40" t="n"/>
      <c r="I191" s="39" t="n"/>
      <c r="J191" s="13">
        <f>IF(N(F191)&gt;0,G191/F191,"")</f>
        <v/>
      </c>
      <c r="K191" s="10">
        <f>IF(N(G191)&gt;0,E191/G191,"")</f>
        <v/>
      </c>
      <c r="L191" s="10">
        <f>IF(N(H191)&gt;0,E191/H191,"")</f>
        <v/>
      </c>
      <c r="M191" s="11">
        <f>IF(N(E191)&gt;0,I191/E191,"")</f>
        <v/>
      </c>
      <c r="N191" s="10">
        <f>IF(AND(E191="",I191=""),"",N(I191)*(1-COM-COM_SHOP)-N(E191)*(1+IMP_META))</f>
        <v/>
      </c>
      <c r="O191" s="37" t="n"/>
    </row>
    <row r="192">
      <c r="A192" s="36" t="n"/>
      <c r="B192" s="37" t="n"/>
      <c r="C192" s="37" t="n"/>
      <c r="D192" s="38">
        <f>IF(C192="","",IFERROR(INDEX(Anuncios!$B$6:$B$65,MATCH(C192,Anuncios!$A$6:$A$65,0)),"(no está en Anuncios)"))</f>
        <v/>
      </c>
      <c r="E192" s="39" t="n"/>
      <c r="F192" s="40" t="n"/>
      <c r="G192" s="40" t="n"/>
      <c r="H192" s="40" t="n"/>
      <c r="I192" s="39" t="n"/>
      <c r="J192" s="13">
        <f>IF(N(F192)&gt;0,G192/F192,"")</f>
        <v/>
      </c>
      <c r="K192" s="10">
        <f>IF(N(G192)&gt;0,E192/G192,"")</f>
        <v/>
      </c>
      <c r="L192" s="10">
        <f>IF(N(H192)&gt;0,E192/H192,"")</f>
        <v/>
      </c>
      <c r="M192" s="11">
        <f>IF(N(E192)&gt;0,I192/E192,"")</f>
        <v/>
      </c>
      <c r="N192" s="10">
        <f>IF(AND(E192="",I192=""),"",N(I192)*(1-COM-COM_SHOP)-N(E192)*(1+IMP_META))</f>
        <v/>
      </c>
      <c r="O192" s="37" t="n"/>
    </row>
    <row r="193">
      <c r="A193" s="36" t="n"/>
      <c r="B193" s="37" t="n"/>
      <c r="C193" s="37" t="n"/>
      <c r="D193" s="38">
        <f>IF(C193="","",IFERROR(INDEX(Anuncios!$B$6:$B$65,MATCH(C193,Anuncios!$A$6:$A$65,0)),"(no está en Anuncios)"))</f>
        <v/>
      </c>
      <c r="E193" s="39" t="n"/>
      <c r="F193" s="40" t="n"/>
      <c r="G193" s="40" t="n"/>
      <c r="H193" s="40" t="n"/>
      <c r="I193" s="39" t="n"/>
      <c r="J193" s="13">
        <f>IF(N(F193)&gt;0,G193/F193,"")</f>
        <v/>
      </c>
      <c r="K193" s="10">
        <f>IF(N(G193)&gt;0,E193/G193,"")</f>
        <v/>
      </c>
      <c r="L193" s="10">
        <f>IF(N(H193)&gt;0,E193/H193,"")</f>
        <v/>
      </c>
      <c r="M193" s="11">
        <f>IF(N(E193)&gt;0,I193/E193,"")</f>
        <v/>
      </c>
      <c r="N193" s="10">
        <f>IF(AND(E193="",I193=""),"",N(I193)*(1-COM-COM_SHOP)-N(E193)*(1+IMP_META))</f>
        <v/>
      </c>
      <c r="O193" s="37" t="n"/>
    </row>
    <row r="194">
      <c r="A194" s="36" t="n"/>
      <c r="B194" s="37" t="n"/>
      <c r="C194" s="37" t="n"/>
      <c r="D194" s="38">
        <f>IF(C194="","",IFERROR(INDEX(Anuncios!$B$6:$B$65,MATCH(C194,Anuncios!$A$6:$A$65,0)),"(no está en Anuncios)"))</f>
        <v/>
      </c>
      <c r="E194" s="39" t="n"/>
      <c r="F194" s="40" t="n"/>
      <c r="G194" s="40" t="n"/>
      <c r="H194" s="40" t="n"/>
      <c r="I194" s="39" t="n"/>
      <c r="J194" s="13">
        <f>IF(N(F194)&gt;0,G194/F194,"")</f>
        <v/>
      </c>
      <c r="K194" s="10">
        <f>IF(N(G194)&gt;0,E194/G194,"")</f>
        <v/>
      </c>
      <c r="L194" s="10">
        <f>IF(N(H194)&gt;0,E194/H194,"")</f>
        <v/>
      </c>
      <c r="M194" s="11">
        <f>IF(N(E194)&gt;0,I194/E194,"")</f>
        <v/>
      </c>
      <c r="N194" s="10">
        <f>IF(AND(E194="",I194=""),"",N(I194)*(1-COM-COM_SHOP)-N(E194)*(1+IMP_META))</f>
        <v/>
      </c>
      <c r="O194" s="37" t="n"/>
    </row>
    <row r="195">
      <c r="A195" s="36" t="n"/>
      <c r="B195" s="37" t="n"/>
      <c r="C195" s="37" t="n"/>
      <c r="D195" s="38">
        <f>IF(C195="","",IFERROR(INDEX(Anuncios!$B$6:$B$65,MATCH(C195,Anuncios!$A$6:$A$65,0)),"(no está en Anuncios)"))</f>
        <v/>
      </c>
      <c r="E195" s="39" t="n"/>
      <c r="F195" s="40" t="n"/>
      <c r="G195" s="40" t="n"/>
      <c r="H195" s="40" t="n"/>
      <c r="I195" s="39" t="n"/>
      <c r="J195" s="13">
        <f>IF(N(F195)&gt;0,G195/F195,"")</f>
        <v/>
      </c>
      <c r="K195" s="10">
        <f>IF(N(G195)&gt;0,E195/G195,"")</f>
        <v/>
      </c>
      <c r="L195" s="10">
        <f>IF(N(H195)&gt;0,E195/H195,"")</f>
        <v/>
      </c>
      <c r="M195" s="11">
        <f>IF(N(E195)&gt;0,I195/E195,"")</f>
        <v/>
      </c>
      <c r="N195" s="10">
        <f>IF(AND(E195="",I195=""),"",N(I195)*(1-COM-COM_SHOP)-N(E195)*(1+IMP_META))</f>
        <v/>
      </c>
      <c r="O195" s="37" t="n"/>
    </row>
    <row r="196">
      <c r="A196" s="36" t="n"/>
      <c r="B196" s="37" t="n"/>
      <c r="C196" s="37" t="n"/>
      <c r="D196" s="38">
        <f>IF(C196="","",IFERROR(INDEX(Anuncios!$B$6:$B$65,MATCH(C196,Anuncios!$A$6:$A$65,0)),"(no está en Anuncios)"))</f>
        <v/>
      </c>
      <c r="E196" s="39" t="n"/>
      <c r="F196" s="40" t="n"/>
      <c r="G196" s="40" t="n"/>
      <c r="H196" s="40" t="n"/>
      <c r="I196" s="39" t="n"/>
      <c r="J196" s="13">
        <f>IF(N(F196)&gt;0,G196/F196,"")</f>
        <v/>
      </c>
      <c r="K196" s="10">
        <f>IF(N(G196)&gt;0,E196/G196,"")</f>
        <v/>
      </c>
      <c r="L196" s="10">
        <f>IF(N(H196)&gt;0,E196/H196,"")</f>
        <v/>
      </c>
      <c r="M196" s="11">
        <f>IF(N(E196)&gt;0,I196/E196,"")</f>
        <v/>
      </c>
      <c r="N196" s="10">
        <f>IF(AND(E196="",I196=""),"",N(I196)*(1-COM-COM_SHOP)-N(E196)*(1+IMP_META))</f>
        <v/>
      </c>
      <c r="O196" s="37" t="n"/>
    </row>
    <row r="197">
      <c r="A197" s="36" t="n"/>
      <c r="B197" s="37" t="n"/>
      <c r="C197" s="37" t="n"/>
      <c r="D197" s="38">
        <f>IF(C197="","",IFERROR(INDEX(Anuncios!$B$6:$B$65,MATCH(C197,Anuncios!$A$6:$A$65,0)),"(no está en Anuncios)"))</f>
        <v/>
      </c>
      <c r="E197" s="39" t="n"/>
      <c r="F197" s="40" t="n"/>
      <c r="G197" s="40" t="n"/>
      <c r="H197" s="40" t="n"/>
      <c r="I197" s="39" t="n"/>
      <c r="J197" s="13">
        <f>IF(N(F197)&gt;0,G197/F197,"")</f>
        <v/>
      </c>
      <c r="K197" s="10">
        <f>IF(N(G197)&gt;0,E197/G197,"")</f>
        <v/>
      </c>
      <c r="L197" s="10">
        <f>IF(N(H197)&gt;0,E197/H197,"")</f>
        <v/>
      </c>
      <c r="M197" s="11">
        <f>IF(N(E197)&gt;0,I197/E197,"")</f>
        <v/>
      </c>
      <c r="N197" s="10">
        <f>IF(AND(E197="",I197=""),"",N(I197)*(1-COM-COM_SHOP)-N(E197)*(1+IMP_META))</f>
        <v/>
      </c>
      <c r="O197" s="37" t="n"/>
    </row>
    <row r="198">
      <c r="A198" s="36" t="n"/>
      <c r="B198" s="37" t="n"/>
      <c r="C198" s="37" t="n"/>
      <c r="D198" s="38">
        <f>IF(C198="","",IFERROR(INDEX(Anuncios!$B$6:$B$65,MATCH(C198,Anuncios!$A$6:$A$65,0)),"(no está en Anuncios)"))</f>
        <v/>
      </c>
      <c r="E198" s="39" t="n"/>
      <c r="F198" s="40" t="n"/>
      <c r="G198" s="40" t="n"/>
      <c r="H198" s="40" t="n"/>
      <c r="I198" s="39" t="n"/>
      <c r="J198" s="13">
        <f>IF(N(F198)&gt;0,G198/F198,"")</f>
        <v/>
      </c>
      <c r="K198" s="10">
        <f>IF(N(G198)&gt;0,E198/G198,"")</f>
        <v/>
      </c>
      <c r="L198" s="10">
        <f>IF(N(H198)&gt;0,E198/H198,"")</f>
        <v/>
      </c>
      <c r="M198" s="11">
        <f>IF(N(E198)&gt;0,I198/E198,"")</f>
        <v/>
      </c>
      <c r="N198" s="10">
        <f>IF(AND(E198="",I198=""),"",N(I198)*(1-COM-COM_SHOP)-N(E198)*(1+IMP_META))</f>
        <v/>
      </c>
      <c r="O198" s="37" t="n"/>
    </row>
    <row r="199">
      <c r="A199" s="36" t="n"/>
      <c r="B199" s="37" t="n"/>
      <c r="C199" s="37" t="n"/>
      <c r="D199" s="38">
        <f>IF(C199="","",IFERROR(INDEX(Anuncios!$B$6:$B$65,MATCH(C199,Anuncios!$A$6:$A$65,0)),"(no está en Anuncios)"))</f>
        <v/>
      </c>
      <c r="E199" s="39" t="n"/>
      <c r="F199" s="40" t="n"/>
      <c r="G199" s="40" t="n"/>
      <c r="H199" s="40" t="n"/>
      <c r="I199" s="39" t="n"/>
      <c r="J199" s="13">
        <f>IF(N(F199)&gt;0,G199/F199,"")</f>
        <v/>
      </c>
      <c r="K199" s="10">
        <f>IF(N(G199)&gt;0,E199/G199,"")</f>
        <v/>
      </c>
      <c r="L199" s="10">
        <f>IF(N(H199)&gt;0,E199/H199,"")</f>
        <v/>
      </c>
      <c r="M199" s="11">
        <f>IF(N(E199)&gt;0,I199/E199,"")</f>
        <v/>
      </c>
      <c r="N199" s="10">
        <f>IF(AND(E199="",I199=""),"",N(I199)*(1-COM-COM_SHOP)-N(E199)*(1+IMP_META))</f>
        <v/>
      </c>
      <c r="O199" s="37" t="n"/>
    </row>
    <row r="200">
      <c r="A200" s="36" t="n"/>
      <c r="B200" s="37" t="n"/>
      <c r="C200" s="37" t="n"/>
      <c r="D200" s="38">
        <f>IF(C200="","",IFERROR(INDEX(Anuncios!$B$6:$B$65,MATCH(C200,Anuncios!$A$6:$A$65,0)),"(no está en Anuncios)"))</f>
        <v/>
      </c>
      <c r="E200" s="39" t="n"/>
      <c r="F200" s="40" t="n"/>
      <c r="G200" s="40" t="n"/>
      <c r="H200" s="40" t="n"/>
      <c r="I200" s="39" t="n"/>
      <c r="J200" s="13">
        <f>IF(N(F200)&gt;0,G200/F200,"")</f>
        <v/>
      </c>
      <c r="K200" s="10">
        <f>IF(N(G200)&gt;0,E200/G200,"")</f>
        <v/>
      </c>
      <c r="L200" s="10">
        <f>IF(N(H200)&gt;0,E200/H200,"")</f>
        <v/>
      </c>
      <c r="M200" s="11">
        <f>IF(N(E200)&gt;0,I200/E200,"")</f>
        <v/>
      </c>
      <c r="N200" s="10">
        <f>IF(AND(E200="",I200=""),"",N(I200)*(1-COM-COM_SHOP)-N(E200)*(1+IMP_META))</f>
        <v/>
      </c>
      <c r="O200" s="37" t="n"/>
    </row>
    <row r="201">
      <c r="A201" s="36" t="n"/>
      <c r="B201" s="37" t="n"/>
      <c r="C201" s="37" t="n"/>
      <c r="D201" s="38">
        <f>IF(C201="","",IFERROR(INDEX(Anuncios!$B$6:$B$65,MATCH(C201,Anuncios!$A$6:$A$65,0)),"(no está en Anuncios)"))</f>
        <v/>
      </c>
      <c r="E201" s="39" t="n"/>
      <c r="F201" s="40" t="n"/>
      <c r="G201" s="40" t="n"/>
      <c r="H201" s="40" t="n"/>
      <c r="I201" s="39" t="n"/>
      <c r="J201" s="13">
        <f>IF(N(F201)&gt;0,G201/F201,"")</f>
        <v/>
      </c>
      <c r="K201" s="10">
        <f>IF(N(G201)&gt;0,E201/G201,"")</f>
        <v/>
      </c>
      <c r="L201" s="10">
        <f>IF(N(H201)&gt;0,E201/H201,"")</f>
        <v/>
      </c>
      <c r="M201" s="11">
        <f>IF(N(E201)&gt;0,I201/E201,"")</f>
        <v/>
      </c>
      <c r="N201" s="10">
        <f>IF(AND(E201="",I201=""),"",N(I201)*(1-COM-COM_SHOP)-N(E201)*(1+IMP_META))</f>
        <v/>
      </c>
      <c r="O201" s="37" t="n"/>
    </row>
    <row r="202">
      <c r="A202" s="36" t="n"/>
      <c r="B202" s="37" t="n"/>
      <c r="C202" s="37" t="n"/>
      <c r="D202" s="38">
        <f>IF(C202="","",IFERROR(INDEX(Anuncios!$B$6:$B$65,MATCH(C202,Anuncios!$A$6:$A$65,0)),"(no está en Anuncios)"))</f>
        <v/>
      </c>
      <c r="E202" s="39" t="n"/>
      <c r="F202" s="40" t="n"/>
      <c r="G202" s="40" t="n"/>
      <c r="H202" s="40" t="n"/>
      <c r="I202" s="39" t="n"/>
      <c r="J202" s="13">
        <f>IF(N(F202)&gt;0,G202/F202,"")</f>
        <v/>
      </c>
      <c r="K202" s="10">
        <f>IF(N(G202)&gt;0,E202/G202,"")</f>
        <v/>
      </c>
      <c r="L202" s="10">
        <f>IF(N(H202)&gt;0,E202/H202,"")</f>
        <v/>
      </c>
      <c r="M202" s="11">
        <f>IF(N(E202)&gt;0,I202/E202,"")</f>
        <v/>
      </c>
      <c r="N202" s="10">
        <f>IF(AND(E202="",I202=""),"",N(I202)*(1-COM-COM_SHOP)-N(E202)*(1+IMP_META))</f>
        <v/>
      </c>
      <c r="O202" s="37" t="n"/>
    </row>
    <row r="203">
      <c r="A203" s="36" t="n"/>
      <c r="B203" s="37" t="n"/>
      <c r="C203" s="37" t="n"/>
      <c r="D203" s="38">
        <f>IF(C203="","",IFERROR(INDEX(Anuncios!$B$6:$B$65,MATCH(C203,Anuncios!$A$6:$A$65,0)),"(no está en Anuncios)"))</f>
        <v/>
      </c>
      <c r="E203" s="39" t="n"/>
      <c r="F203" s="40" t="n"/>
      <c r="G203" s="40" t="n"/>
      <c r="H203" s="40" t="n"/>
      <c r="I203" s="39" t="n"/>
      <c r="J203" s="13">
        <f>IF(N(F203)&gt;0,G203/F203,"")</f>
        <v/>
      </c>
      <c r="K203" s="10">
        <f>IF(N(G203)&gt;0,E203/G203,"")</f>
        <v/>
      </c>
      <c r="L203" s="10">
        <f>IF(N(H203)&gt;0,E203/H203,"")</f>
        <v/>
      </c>
      <c r="M203" s="11">
        <f>IF(N(E203)&gt;0,I203/E203,"")</f>
        <v/>
      </c>
      <c r="N203" s="10">
        <f>IF(AND(E203="",I203=""),"",N(I203)*(1-COM-COM_SHOP)-N(E203)*(1+IMP_META))</f>
        <v/>
      </c>
      <c r="O203" s="37" t="n"/>
    </row>
    <row r="204">
      <c r="A204" s="36" t="n"/>
      <c r="B204" s="37" t="n"/>
      <c r="C204" s="37" t="n"/>
      <c r="D204" s="38">
        <f>IF(C204="","",IFERROR(INDEX(Anuncios!$B$6:$B$65,MATCH(C204,Anuncios!$A$6:$A$65,0)),"(no está en Anuncios)"))</f>
        <v/>
      </c>
      <c r="E204" s="39" t="n"/>
      <c r="F204" s="40" t="n"/>
      <c r="G204" s="40" t="n"/>
      <c r="H204" s="40" t="n"/>
      <c r="I204" s="39" t="n"/>
      <c r="J204" s="13">
        <f>IF(N(F204)&gt;0,G204/F204,"")</f>
        <v/>
      </c>
      <c r="K204" s="10">
        <f>IF(N(G204)&gt;0,E204/G204,"")</f>
        <v/>
      </c>
      <c r="L204" s="10">
        <f>IF(N(H204)&gt;0,E204/H204,"")</f>
        <v/>
      </c>
      <c r="M204" s="11">
        <f>IF(N(E204)&gt;0,I204/E204,"")</f>
        <v/>
      </c>
      <c r="N204" s="10">
        <f>IF(AND(E204="",I204=""),"",N(I204)*(1-COM-COM_SHOP)-N(E204)*(1+IMP_META))</f>
        <v/>
      </c>
      <c r="O204" s="37" t="n"/>
    </row>
    <row r="205">
      <c r="A205" s="36" t="n"/>
      <c r="B205" s="37" t="n"/>
      <c r="C205" s="37" t="n"/>
      <c r="D205" s="38">
        <f>IF(C205="","",IFERROR(INDEX(Anuncios!$B$6:$B$65,MATCH(C205,Anuncios!$A$6:$A$65,0)),"(no está en Anuncios)"))</f>
        <v/>
      </c>
      <c r="E205" s="39" t="n"/>
      <c r="F205" s="40" t="n"/>
      <c r="G205" s="40" t="n"/>
      <c r="H205" s="40" t="n"/>
      <c r="I205" s="39" t="n"/>
      <c r="J205" s="13">
        <f>IF(N(F205)&gt;0,G205/F205,"")</f>
        <v/>
      </c>
      <c r="K205" s="10">
        <f>IF(N(G205)&gt;0,E205/G205,"")</f>
        <v/>
      </c>
      <c r="L205" s="10">
        <f>IF(N(H205)&gt;0,E205/H205,"")</f>
        <v/>
      </c>
      <c r="M205" s="11">
        <f>IF(N(E205)&gt;0,I205/E205,"")</f>
        <v/>
      </c>
      <c r="N205" s="10">
        <f>IF(AND(E205="",I205=""),"",N(I205)*(1-COM-COM_SHOP)-N(E205)*(1+IMP_META))</f>
        <v/>
      </c>
      <c r="O205" s="37" t="n"/>
    </row>
    <row r="206">
      <c r="A206" s="36" t="n"/>
      <c r="B206" s="37" t="n"/>
      <c r="C206" s="37" t="n"/>
      <c r="D206" s="38">
        <f>IF(C206="","",IFERROR(INDEX(Anuncios!$B$6:$B$65,MATCH(C206,Anuncios!$A$6:$A$65,0)),"(no está en Anuncios)"))</f>
        <v/>
      </c>
      <c r="E206" s="39" t="n"/>
      <c r="F206" s="40" t="n"/>
      <c r="G206" s="40" t="n"/>
      <c r="H206" s="40" t="n"/>
      <c r="I206" s="39" t="n"/>
      <c r="J206" s="13">
        <f>IF(N(F206)&gt;0,G206/F206,"")</f>
        <v/>
      </c>
      <c r="K206" s="10">
        <f>IF(N(G206)&gt;0,E206/G206,"")</f>
        <v/>
      </c>
      <c r="L206" s="10">
        <f>IF(N(H206)&gt;0,E206/H206,"")</f>
        <v/>
      </c>
      <c r="M206" s="11">
        <f>IF(N(E206)&gt;0,I206/E206,"")</f>
        <v/>
      </c>
      <c r="N206" s="10">
        <f>IF(AND(E206="",I206=""),"",N(I206)*(1-COM-COM_SHOP)-N(E206)*(1+IMP_META))</f>
        <v/>
      </c>
      <c r="O206" s="37" t="n"/>
    </row>
    <row r="207">
      <c r="A207" s="36" t="n"/>
      <c r="B207" s="37" t="n"/>
      <c r="C207" s="37" t="n"/>
      <c r="D207" s="38">
        <f>IF(C207="","",IFERROR(INDEX(Anuncios!$B$6:$B$65,MATCH(C207,Anuncios!$A$6:$A$65,0)),"(no está en Anuncios)"))</f>
        <v/>
      </c>
      <c r="E207" s="39" t="n"/>
      <c r="F207" s="40" t="n"/>
      <c r="G207" s="40" t="n"/>
      <c r="H207" s="40" t="n"/>
      <c r="I207" s="39" t="n"/>
      <c r="J207" s="13">
        <f>IF(N(F207)&gt;0,G207/F207,"")</f>
        <v/>
      </c>
      <c r="K207" s="10">
        <f>IF(N(G207)&gt;0,E207/G207,"")</f>
        <v/>
      </c>
      <c r="L207" s="10">
        <f>IF(N(H207)&gt;0,E207/H207,"")</f>
        <v/>
      </c>
      <c r="M207" s="11">
        <f>IF(N(E207)&gt;0,I207/E207,"")</f>
        <v/>
      </c>
      <c r="N207" s="10">
        <f>IF(AND(E207="",I207=""),"",N(I207)*(1-COM-COM_SHOP)-N(E207)*(1+IMP_META))</f>
        <v/>
      </c>
      <c r="O207" s="37" t="n"/>
    </row>
    <row r="208">
      <c r="A208" s="36" t="n"/>
      <c r="B208" s="37" t="n"/>
      <c r="C208" s="37" t="n"/>
      <c r="D208" s="38">
        <f>IF(C208="","",IFERROR(INDEX(Anuncios!$B$6:$B$65,MATCH(C208,Anuncios!$A$6:$A$65,0)),"(no está en Anuncios)"))</f>
        <v/>
      </c>
      <c r="E208" s="39" t="n"/>
      <c r="F208" s="40" t="n"/>
      <c r="G208" s="40" t="n"/>
      <c r="H208" s="40" t="n"/>
      <c r="I208" s="39" t="n"/>
      <c r="J208" s="13">
        <f>IF(N(F208)&gt;0,G208/F208,"")</f>
        <v/>
      </c>
      <c r="K208" s="10">
        <f>IF(N(G208)&gt;0,E208/G208,"")</f>
        <v/>
      </c>
      <c r="L208" s="10">
        <f>IF(N(H208)&gt;0,E208/H208,"")</f>
        <v/>
      </c>
      <c r="M208" s="11">
        <f>IF(N(E208)&gt;0,I208/E208,"")</f>
        <v/>
      </c>
      <c r="N208" s="10">
        <f>IF(AND(E208="",I208=""),"",N(I208)*(1-COM-COM_SHOP)-N(E208)*(1+IMP_META))</f>
        <v/>
      </c>
      <c r="O208" s="37" t="n"/>
    </row>
    <row r="209">
      <c r="A209" s="36" t="n"/>
      <c r="B209" s="37" t="n"/>
      <c r="C209" s="37" t="n"/>
      <c r="D209" s="38">
        <f>IF(C209="","",IFERROR(INDEX(Anuncios!$B$6:$B$65,MATCH(C209,Anuncios!$A$6:$A$65,0)),"(no está en Anuncios)"))</f>
        <v/>
      </c>
      <c r="E209" s="39" t="n"/>
      <c r="F209" s="40" t="n"/>
      <c r="G209" s="40" t="n"/>
      <c r="H209" s="40" t="n"/>
      <c r="I209" s="39" t="n"/>
      <c r="J209" s="13">
        <f>IF(N(F209)&gt;0,G209/F209,"")</f>
        <v/>
      </c>
      <c r="K209" s="10">
        <f>IF(N(G209)&gt;0,E209/G209,"")</f>
        <v/>
      </c>
      <c r="L209" s="10">
        <f>IF(N(H209)&gt;0,E209/H209,"")</f>
        <v/>
      </c>
      <c r="M209" s="11">
        <f>IF(N(E209)&gt;0,I209/E209,"")</f>
        <v/>
      </c>
      <c r="N209" s="10">
        <f>IF(AND(E209="",I209=""),"",N(I209)*(1-COM-COM_SHOP)-N(E209)*(1+IMP_META))</f>
        <v/>
      </c>
      <c r="O209" s="37" t="n"/>
    </row>
    <row r="210">
      <c r="A210" s="36" t="n"/>
      <c r="B210" s="37" t="n"/>
      <c r="C210" s="37" t="n"/>
      <c r="D210" s="38">
        <f>IF(C210="","",IFERROR(INDEX(Anuncios!$B$6:$B$65,MATCH(C210,Anuncios!$A$6:$A$65,0)),"(no está en Anuncios)"))</f>
        <v/>
      </c>
      <c r="E210" s="39" t="n"/>
      <c r="F210" s="40" t="n"/>
      <c r="G210" s="40" t="n"/>
      <c r="H210" s="40" t="n"/>
      <c r="I210" s="39" t="n"/>
      <c r="J210" s="13">
        <f>IF(N(F210)&gt;0,G210/F210,"")</f>
        <v/>
      </c>
      <c r="K210" s="10">
        <f>IF(N(G210)&gt;0,E210/G210,"")</f>
        <v/>
      </c>
      <c r="L210" s="10">
        <f>IF(N(H210)&gt;0,E210/H210,"")</f>
        <v/>
      </c>
      <c r="M210" s="11">
        <f>IF(N(E210)&gt;0,I210/E210,"")</f>
        <v/>
      </c>
      <c r="N210" s="10">
        <f>IF(AND(E210="",I210=""),"",N(I210)*(1-COM-COM_SHOP)-N(E210)*(1+IMP_META))</f>
        <v/>
      </c>
      <c r="O210" s="37" t="n"/>
    </row>
    <row r="211">
      <c r="A211" s="36" t="n"/>
      <c r="B211" s="37" t="n"/>
      <c r="C211" s="37" t="n"/>
      <c r="D211" s="38">
        <f>IF(C211="","",IFERROR(INDEX(Anuncios!$B$6:$B$65,MATCH(C211,Anuncios!$A$6:$A$65,0)),"(no está en Anuncios)"))</f>
        <v/>
      </c>
      <c r="E211" s="39" t="n"/>
      <c r="F211" s="40" t="n"/>
      <c r="G211" s="40" t="n"/>
      <c r="H211" s="40" t="n"/>
      <c r="I211" s="39" t="n"/>
      <c r="J211" s="13">
        <f>IF(N(F211)&gt;0,G211/F211,"")</f>
        <v/>
      </c>
      <c r="K211" s="10">
        <f>IF(N(G211)&gt;0,E211/G211,"")</f>
        <v/>
      </c>
      <c r="L211" s="10">
        <f>IF(N(H211)&gt;0,E211/H211,"")</f>
        <v/>
      </c>
      <c r="M211" s="11">
        <f>IF(N(E211)&gt;0,I211/E211,"")</f>
        <v/>
      </c>
      <c r="N211" s="10">
        <f>IF(AND(E211="",I211=""),"",N(I211)*(1-COM-COM_SHOP)-N(E211)*(1+IMP_META))</f>
        <v/>
      </c>
      <c r="O211" s="37" t="n"/>
    </row>
    <row r="212">
      <c r="A212" s="36" t="n"/>
      <c r="B212" s="37" t="n"/>
      <c r="C212" s="37" t="n"/>
      <c r="D212" s="38">
        <f>IF(C212="","",IFERROR(INDEX(Anuncios!$B$6:$B$65,MATCH(C212,Anuncios!$A$6:$A$65,0)),"(no está en Anuncios)"))</f>
        <v/>
      </c>
      <c r="E212" s="39" t="n"/>
      <c r="F212" s="40" t="n"/>
      <c r="G212" s="40" t="n"/>
      <c r="H212" s="40" t="n"/>
      <c r="I212" s="39" t="n"/>
      <c r="J212" s="13">
        <f>IF(N(F212)&gt;0,G212/F212,"")</f>
        <v/>
      </c>
      <c r="K212" s="10">
        <f>IF(N(G212)&gt;0,E212/G212,"")</f>
        <v/>
      </c>
      <c r="L212" s="10">
        <f>IF(N(H212)&gt;0,E212/H212,"")</f>
        <v/>
      </c>
      <c r="M212" s="11">
        <f>IF(N(E212)&gt;0,I212/E212,"")</f>
        <v/>
      </c>
      <c r="N212" s="10">
        <f>IF(AND(E212="",I212=""),"",N(I212)*(1-COM-COM_SHOP)-N(E212)*(1+IMP_META))</f>
        <v/>
      </c>
      <c r="O212" s="37" t="n"/>
    </row>
    <row r="213">
      <c r="A213" s="36" t="n"/>
      <c r="B213" s="37" t="n"/>
      <c r="C213" s="37" t="n"/>
      <c r="D213" s="38">
        <f>IF(C213="","",IFERROR(INDEX(Anuncios!$B$6:$B$65,MATCH(C213,Anuncios!$A$6:$A$65,0)),"(no está en Anuncios)"))</f>
        <v/>
      </c>
      <c r="E213" s="39" t="n"/>
      <c r="F213" s="40" t="n"/>
      <c r="G213" s="40" t="n"/>
      <c r="H213" s="40" t="n"/>
      <c r="I213" s="39" t="n"/>
      <c r="J213" s="13">
        <f>IF(N(F213)&gt;0,G213/F213,"")</f>
        <v/>
      </c>
      <c r="K213" s="10">
        <f>IF(N(G213)&gt;0,E213/G213,"")</f>
        <v/>
      </c>
      <c r="L213" s="10">
        <f>IF(N(H213)&gt;0,E213/H213,"")</f>
        <v/>
      </c>
      <c r="M213" s="11">
        <f>IF(N(E213)&gt;0,I213/E213,"")</f>
        <v/>
      </c>
      <c r="N213" s="10">
        <f>IF(AND(E213="",I213=""),"",N(I213)*(1-COM-COM_SHOP)-N(E213)*(1+IMP_META))</f>
        <v/>
      </c>
      <c r="O213" s="37" t="n"/>
    </row>
    <row r="214">
      <c r="A214" s="36" t="n"/>
      <c r="B214" s="37" t="n"/>
      <c r="C214" s="37" t="n"/>
      <c r="D214" s="38">
        <f>IF(C214="","",IFERROR(INDEX(Anuncios!$B$6:$B$65,MATCH(C214,Anuncios!$A$6:$A$65,0)),"(no está en Anuncios)"))</f>
        <v/>
      </c>
      <c r="E214" s="39" t="n"/>
      <c r="F214" s="40" t="n"/>
      <c r="G214" s="40" t="n"/>
      <c r="H214" s="40" t="n"/>
      <c r="I214" s="39" t="n"/>
      <c r="J214" s="13">
        <f>IF(N(F214)&gt;0,G214/F214,"")</f>
        <v/>
      </c>
      <c r="K214" s="10">
        <f>IF(N(G214)&gt;0,E214/G214,"")</f>
        <v/>
      </c>
      <c r="L214" s="10">
        <f>IF(N(H214)&gt;0,E214/H214,"")</f>
        <v/>
      </c>
      <c r="M214" s="11">
        <f>IF(N(E214)&gt;0,I214/E214,"")</f>
        <v/>
      </c>
      <c r="N214" s="10">
        <f>IF(AND(E214="",I214=""),"",N(I214)*(1-COM-COM_SHOP)-N(E214)*(1+IMP_META))</f>
        <v/>
      </c>
      <c r="O214" s="37" t="n"/>
    </row>
    <row r="215">
      <c r="A215" s="36" t="n"/>
      <c r="B215" s="37" t="n"/>
      <c r="C215" s="37" t="n"/>
      <c r="D215" s="38">
        <f>IF(C215="","",IFERROR(INDEX(Anuncios!$B$6:$B$65,MATCH(C215,Anuncios!$A$6:$A$65,0)),"(no está en Anuncios)"))</f>
        <v/>
      </c>
      <c r="E215" s="39" t="n"/>
      <c r="F215" s="40" t="n"/>
      <c r="G215" s="40" t="n"/>
      <c r="H215" s="40" t="n"/>
      <c r="I215" s="39" t="n"/>
      <c r="J215" s="13">
        <f>IF(N(F215)&gt;0,G215/F215,"")</f>
        <v/>
      </c>
      <c r="K215" s="10">
        <f>IF(N(G215)&gt;0,E215/G215,"")</f>
        <v/>
      </c>
      <c r="L215" s="10">
        <f>IF(N(H215)&gt;0,E215/H215,"")</f>
        <v/>
      </c>
      <c r="M215" s="11">
        <f>IF(N(E215)&gt;0,I215/E215,"")</f>
        <v/>
      </c>
      <c r="N215" s="10">
        <f>IF(AND(E215="",I215=""),"",N(I215)*(1-COM-COM_SHOP)-N(E215)*(1+IMP_META))</f>
        <v/>
      </c>
      <c r="O215" s="37" t="n"/>
    </row>
    <row r="216">
      <c r="A216" s="36" t="n"/>
      <c r="B216" s="37" t="n"/>
      <c r="C216" s="37" t="n"/>
      <c r="D216" s="38">
        <f>IF(C216="","",IFERROR(INDEX(Anuncios!$B$6:$B$65,MATCH(C216,Anuncios!$A$6:$A$65,0)),"(no está en Anuncios)"))</f>
        <v/>
      </c>
      <c r="E216" s="39" t="n"/>
      <c r="F216" s="40" t="n"/>
      <c r="G216" s="40" t="n"/>
      <c r="H216" s="40" t="n"/>
      <c r="I216" s="39" t="n"/>
      <c r="J216" s="13">
        <f>IF(N(F216)&gt;0,G216/F216,"")</f>
        <v/>
      </c>
      <c r="K216" s="10">
        <f>IF(N(G216)&gt;0,E216/G216,"")</f>
        <v/>
      </c>
      <c r="L216" s="10">
        <f>IF(N(H216)&gt;0,E216/H216,"")</f>
        <v/>
      </c>
      <c r="M216" s="11">
        <f>IF(N(E216)&gt;0,I216/E216,"")</f>
        <v/>
      </c>
      <c r="N216" s="10">
        <f>IF(AND(E216="",I216=""),"",N(I216)*(1-COM-COM_SHOP)-N(E216)*(1+IMP_META))</f>
        <v/>
      </c>
      <c r="O216" s="37" t="n"/>
    </row>
    <row r="217">
      <c r="A217" s="36" t="n"/>
      <c r="B217" s="37" t="n"/>
      <c r="C217" s="37" t="n"/>
      <c r="D217" s="38">
        <f>IF(C217="","",IFERROR(INDEX(Anuncios!$B$6:$B$65,MATCH(C217,Anuncios!$A$6:$A$65,0)),"(no está en Anuncios)"))</f>
        <v/>
      </c>
      <c r="E217" s="39" t="n"/>
      <c r="F217" s="40" t="n"/>
      <c r="G217" s="40" t="n"/>
      <c r="H217" s="40" t="n"/>
      <c r="I217" s="39" t="n"/>
      <c r="J217" s="13">
        <f>IF(N(F217)&gt;0,G217/F217,"")</f>
        <v/>
      </c>
      <c r="K217" s="10">
        <f>IF(N(G217)&gt;0,E217/G217,"")</f>
        <v/>
      </c>
      <c r="L217" s="10">
        <f>IF(N(H217)&gt;0,E217/H217,"")</f>
        <v/>
      </c>
      <c r="M217" s="11">
        <f>IF(N(E217)&gt;0,I217/E217,"")</f>
        <v/>
      </c>
      <c r="N217" s="10">
        <f>IF(AND(E217="",I217=""),"",N(I217)*(1-COM-COM_SHOP)-N(E217)*(1+IMP_META))</f>
        <v/>
      </c>
      <c r="O217" s="37" t="n"/>
    </row>
    <row r="218">
      <c r="A218" s="36" t="n"/>
      <c r="B218" s="37" t="n"/>
      <c r="C218" s="37" t="n"/>
      <c r="D218" s="38">
        <f>IF(C218="","",IFERROR(INDEX(Anuncios!$B$6:$B$65,MATCH(C218,Anuncios!$A$6:$A$65,0)),"(no está en Anuncios)"))</f>
        <v/>
      </c>
      <c r="E218" s="39" t="n"/>
      <c r="F218" s="40" t="n"/>
      <c r="G218" s="40" t="n"/>
      <c r="H218" s="40" t="n"/>
      <c r="I218" s="39" t="n"/>
      <c r="J218" s="13">
        <f>IF(N(F218)&gt;0,G218/F218,"")</f>
        <v/>
      </c>
      <c r="K218" s="10">
        <f>IF(N(G218)&gt;0,E218/G218,"")</f>
        <v/>
      </c>
      <c r="L218" s="10">
        <f>IF(N(H218)&gt;0,E218/H218,"")</f>
        <v/>
      </c>
      <c r="M218" s="11">
        <f>IF(N(E218)&gt;0,I218/E218,"")</f>
        <v/>
      </c>
      <c r="N218" s="10">
        <f>IF(AND(E218="",I218=""),"",N(I218)*(1-COM-COM_SHOP)-N(E218)*(1+IMP_META))</f>
        <v/>
      </c>
      <c r="O218" s="37" t="n"/>
    </row>
    <row r="219">
      <c r="A219" s="36" t="n"/>
      <c r="B219" s="37" t="n"/>
      <c r="C219" s="37" t="n"/>
      <c r="D219" s="38">
        <f>IF(C219="","",IFERROR(INDEX(Anuncios!$B$6:$B$65,MATCH(C219,Anuncios!$A$6:$A$65,0)),"(no está en Anuncios)"))</f>
        <v/>
      </c>
      <c r="E219" s="39" t="n"/>
      <c r="F219" s="40" t="n"/>
      <c r="G219" s="40" t="n"/>
      <c r="H219" s="40" t="n"/>
      <c r="I219" s="39" t="n"/>
      <c r="J219" s="13">
        <f>IF(N(F219)&gt;0,G219/F219,"")</f>
        <v/>
      </c>
      <c r="K219" s="10">
        <f>IF(N(G219)&gt;0,E219/G219,"")</f>
        <v/>
      </c>
      <c r="L219" s="10">
        <f>IF(N(H219)&gt;0,E219/H219,"")</f>
        <v/>
      </c>
      <c r="M219" s="11">
        <f>IF(N(E219)&gt;0,I219/E219,"")</f>
        <v/>
      </c>
      <c r="N219" s="10">
        <f>IF(AND(E219="",I219=""),"",N(I219)*(1-COM-COM_SHOP)-N(E219)*(1+IMP_META))</f>
        <v/>
      </c>
      <c r="O219" s="37" t="n"/>
    </row>
    <row r="220">
      <c r="A220" s="36" t="n"/>
      <c r="B220" s="37" t="n"/>
      <c r="C220" s="37" t="n"/>
      <c r="D220" s="38">
        <f>IF(C220="","",IFERROR(INDEX(Anuncios!$B$6:$B$65,MATCH(C220,Anuncios!$A$6:$A$65,0)),"(no está en Anuncios)"))</f>
        <v/>
      </c>
      <c r="E220" s="39" t="n"/>
      <c r="F220" s="40" t="n"/>
      <c r="G220" s="40" t="n"/>
      <c r="H220" s="40" t="n"/>
      <c r="I220" s="39" t="n"/>
      <c r="J220" s="13">
        <f>IF(N(F220)&gt;0,G220/F220,"")</f>
        <v/>
      </c>
      <c r="K220" s="10">
        <f>IF(N(G220)&gt;0,E220/G220,"")</f>
        <v/>
      </c>
      <c r="L220" s="10">
        <f>IF(N(H220)&gt;0,E220/H220,"")</f>
        <v/>
      </c>
      <c r="M220" s="11">
        <f>IF(N(E220)&gt;0,I220/E220,"")</f>
        <v/>
      </c>
      <c r="N220" s="10">
        <f>IF(AND(E220="",I220=""),"",N(I220)*(1-COM-COM_SHOP)-N(E220)*(1+IMP_META))</f>
        <v/>
      </c>
      <c r="O220" s="37" t="n"/>
    </row>
    <row r="221">
      <c r="A221" s="36" t="n"/>
      <c r="B221" s="37" t="n"/>
      <c r="C221" s="37" t="n"/>
      <c r="D221" s="38">
        <f>IF(C221="","",IFERROR(INDEX(Anuncios!$B$6:$B$65,MATCH(C221,Anuncios!$A$6:$A$65,0)),"(no está en Anuncios)"))</f>
        <v/>
      </c>
      <c r="E221" s="39" t="n"/>
      <c r="F221" s="40" t="n"/>
      <c r="G221" s="40" t="n"/>
      <c r="H221" s="40" t="n"/>
      <c r="I221" s="39" t="n"/>
      <c r="J221" s="13">
        <f>IF(N(F221)&gt;0,G221/F221,"")</f>
        <v/>
      </c>
      <c r="K221" s="10">
        <f>IF(N(G221)&gt;0,E221/G221,"")</f>
        <v/>
      </c>
      <c r="L221" s="10">
        <f>IF(N(H221)&gt;0,E221/H221,"")</f>
        <v/>
      </c>
      <c r="M221" s="11">
        <f>IF(N(E221)&gt;0,I221/E221,"")</f>
        <v/>
      </c>
      <c r="N221" s="10">
        <f>IF(AND(E221="",I221=""),"",N(I221)*(1-COM-COM_SHOP)-N(E221)*(1+IMP_META))</f>
        <v/>
      </c>
      <c r="O221" s="37" t="n"/>
    </row>
    <row r="222">
      <c r="A222" s="36" t="n"/>
      <c r="B222" s="37" t="n"/>
      <c r="C222" s="37" t="n"/>
      <c r="D222" s="38">
        <f>IF(C222="","",IFERROR(INDEX(Anuncios!$B$6:$B$65,MATCH(C222,Anuncios!$A$6:$A$65,0)),"(no está en Anuncios)"))</f>
        <v/>
      </c>
      <c r="E222" s="39" t="n"/>
      <c r="F222" s="40" t="n"/>
      <c r="G222" s="40" t="n"/>
      <c r="H222" s="40" t="n"/>
      <c r="I222" s="39" t="n"/>
      <c r="J222" s="13">
        <f>IF(N(F222)&gt;0,G222/F222,"")</f>
        <v/>
      </c>
      <c r="K222" s="10">
        <f>IF(N(G222)&gt;0,E222/G222,"")</f>
        <v/>
      </c>
      <c r="L222" s="10">
        <f>IF(N(H222)&gt;0,E222/H222,"")</f>
        <v/>
      </c>
      <c r="M222" s="11">
        <f>IF(N(E222)&gt;0,I222/E222,"")</f>
        <v/>
      </c>
      <c r="N222" s="10">
        <f>IF(AND(E222="",I222=""),"",N(I222)*(1-COM-COM_SHOP)-N(E222)*(1+IMP_META))</f>
        <v/>
      </c>
      <c r="O222" s="37" t="n"/>
    </row>
    <row r="223">
      <c r="A223" s="36" t="n"/>
      <c r="B223" s="37" t="n"/>
      <c r="C223" s="37" t="n"/>
      <c r="D223" s="38">
        <f>IF(C223="","",IFERROR(INDEX(Anuncios!$B$6:$B$65,MATCH(C223,Anuncios!$A$6:$A$65,0)),"(no está en Anuncios)"))</f>
        <v/>
      </c>
      <c r="E223" s="39" t="n"/>
      <c r="F223" s="40" t="n"/>
      <c r="G223" s="40" t="n"/>
      <c r="H223" s="40" t="n"/>
      <c r="I223" s="39" t="n"/>
      <c r="J223" s="13">
        <f>IF(N(F223)&gt;0,G223/F223,"")</f>
        <v/>
      </c>
      <c r="K223" s="10">
        <f>IF(N(G223)&gt;0,E223/G223,"")</f>
        <v/>
      </c>
      <c r="L223" s="10">
        <f>IF(N(H223)&gt;0,E223/H223,"")</f>
        <v/>
      </c>
      <c r="M223" s="11">
        <f>IF(N(E223)&gt;0,I223/E223,"")</f>
        <v/>
      </c>
      <c r="N223" s="10">
        <f>IF(AND(E223="",I223=""),"",N(I223)*(1-COM-COM_SHOP)-N(E223)*(1+IMP_META))</f>
        <v/>
      </c>
      <c r="O223" s="37" t="n"/>
    </row>
    <row r="224">
      <c r="A224" s="36" t="n"/>
      <c r="B224" s="37" t="n"/>
      <c r="C224" s="37" t="n"/>
      <c r="D224" s="38">
        <f>IF(C224="","",IFERROR(INDEX(Anuncios!$B$6:$B$65,MATCH(C224,Anuncios!$A$6:$A$65,0)),"(no está en Anuncios)"))</f>
        <v/>
      </c>
      <c r="E224" s="39" t="n"/>
      <c r="F224" s="40" t="n"/>
      <c r="G224" s="40" t="n"/>
      <c r="H224" s="40" t="n"/>
      <c r="I224" s="39" t="n"/>
      <c r="J224" s="13">
        <f>IF(N(F224)&gt;0,G224/F224,"")</f>
        <v/>
      </c>
      <c r="K224" s="10">
        <f>IF(N(G224)&gt;0,E224/G224,"")</f>
        <v/>
      </c>
      <c r="L224" s="10">
        <f>IF(N(H224)&gt;0,E224/H224,"")</f>
        <v/>
      </c>
      <c r="M224" s="11">
        <f>IF(N(E224)&gt;0,I224/E224,"")</f>
        <v/>
      </c>
      <c r="N224" s="10">
        <f>IF(AND(E224="",I224=""),"",N(I224)*(1-COM-COM_SHOP)-N(E224)*(1+IMP_META))</f>
        <v/>
      </c>
      <c r="O224" s="37" t="n"/>
    </row>
    <row r="225">
      <c r="A225" s="36" t="n"/>
      <c r="B225" s="37" t="n"/>
      <c r="C225" s="37" t="n"/>
      <c r="D225" s="38">
        <f>IF(C225="","",IFERROR(INDEX(Anuncios!$B$6:$B$65,MATCH(C225,Anuncios!$A$6:$A$65,0)),"(no está en Anuncios)"))</f>
        <v/>
      </c>
      <c r="E225" s="39" t="n"/>
      <c r="F225" s="40" t="n"/>
      <c r="G225" s="40" t="n"/>
      <c r="H225" s="40" t="n"/>
      <c r="I225" s="39" t="n"/>
      <c r="J225" s="13">
        <f>IF(N(F225)&gt;0,G225/F225,"")</f>
        <v/>
      </c>
      <c r="K225" s="10">
        <f>IF(N(G225)&gt;0,E225/G225,"")</f>
        <v/>
      </c>
      <c r="L225" s="10">
        <f>IF(N(H225)&gt;0,E225/H225,"")</f>
        <v/>
      </c>
      <c r="M225" s="11">
        <f>IF(N(E225)&gt;0,I225/E225,"")</f>
        <v/>
      </c>
      <c r="N225" s="10">
        <f>IF(AND(E225="",I225=""),"",N(I225)*(1-COM-COM_SHOP)-N(E225)*(1+IMP_META))</f>
        <v/>
      </c>
      <c r="O225" s="37" t="n"/>
    </row>
    <row r="226">
      <c r="A226" s="36" t="n"/>
      <c r="B226" s="37" t="n"/>
      <c r="C226" s="37" t="n"/>
      <c r="D226" s="38">
        <f>IF(C226="","",IFERROR(INDEX(Anuncios!$B$6:$B$65,MATCH(C226,Anuncios!$A$6:$A$65,0)),"(no está en Anuncios)"))</f>
        <v/>
      </c>
      <c r="E226" s="39" t="n"/>
      <c r="F226" s="40" t="n"/>
      <c r="G226" s="40" t="n"/>
      <c r="H226" s="40" t="n"/>
      <c r="I226" s="39" t="n"/>
      <c r="J226" s="13">
        <f>IF(N(F226)&gt;0,G226/F226,"")</f>
        <v/>
      </c>
      <c r="K226" s="10">
        <f>IF(N(G226)&gt;0,E226/G226,"")</f>
        <v/>
      </c>
      <c r="L226" s="10">
        <f>IF(N(H226)&gt;0,E226/H226,"")</f>
        <v/>
      </c>
      <c r="M226" s="11">
        <f>IF(N(E226)&gt;0,I226/E226,"")</f>
        <v/>
      </c>
      <c r="N226" s="10">
        <f>IF(AND(E226="",I226=""),"",N(I226)*(1-COM-COM_SHOP)-N(E226)*(1+IMP_META))</f>
        <v/>
      </c>
      <c r="O226" s="37" t="n"/>
    </row>
    <row r="227">
      <c r="A227" s="36" t="n"/>
      <c r="B227" s="37" t="n"/>
      <c r="C227" s="37" t="n"/>
      <c r="D227" s="38">
        <f>IF(C227="","",IFERROR(INDEX(Anuncios!$B$6:$B$65,MATCH(C227,Anuncios!$A$6:$A$65,0)),"(no está en Anuncios)"))</f>
        <v/>
      </c>
      <c r="E227" s="39" t="n"/>
      <c r="F227" s="40" t="n"/>
      <c r="G227" s="40" t="n"/>
      <c r="H227" s="40" t="n"/>
      <c r="I227" s="39" t="n"/>
      <c r="J227" s="13">
        <f>IF(N(F227)&gt;0,G227/F227,"")</f>
        <v/>
      </c>
      <c r="K227" s="10">
        <f>IF(N(G227)&gt;0,E227/G227,"")</f>
        <v/>
      </c>
      <c r="L227" s="10">
        <f>IF(N(H227)&gt;0,E227/H227,"")</f>
        <v/>
      </c>
      <c r="M227" s="11">
        <f>IF(N(E227)&gt;0,I227/E227,"")</f>
        <v/>
      </c>
      <c r="N227" s="10">
        <f>IF(AND(E227="",I227=""),"",N(I227)*(1-COM-COM_SHOP)-N(E227)*(1+IMP_META))</f>
        <v/>
      </c>
      <c r="O227" s="37" t="n"/>
    </row>
    <row r="228">
      <c r="A228" s="36" t="n"/>
      <c r="B228" s="37" t="n"/>
      <c r="C228" s="37" t="n"/>
      <c r="D228" s="38">
        <f>IF(C228="","",IFERROR(INDEX(Anuncios!$B$6:$B$65,MATCH(C228,Anuncios!$A$6:$A$65,0)),"(no está en Anuncios)"))</f>
        <v/>
      </c>
      <c r="E228" s="39" t="n"/>
      <c r="F228" s="40" t="n"/>
      <c r="G228" s="40" t="n"/>
      <c r="H228" s="40" t="n"/>
      <c r="I228" s="39" t="n"/>
      <c r="J228" s="13">
        <f>IF(N(F228)&gt;0,G228/F228,"")</f>
        <v/>
      </c>
      <c r="K228" s="10">
        <f>IF(N(G228)&gt;0,E228/G228,"")</f>
        <v/>
      </c>
      <c r="L228" s="10">
        <f>IF(N(H228)&gt;0,E228/H228,"")</f>
        <v/>
      </c>
      <c r="M228" s="11">
        <f>IF(N(E228)&gt;0,I228/E228,"")</f>
        <v/>
      </c>
      <c r="N228" s="10">
        <f>IF(AND(E228="",I228=""),"",N(I228)*(1-COM-COM_SHOP)-N(E228)*(1+IMP_META))</f>
        <v/>
      </c>
      <c r="O228" s="37" t="n"/>
    </row>
    <row r="229">
      <c r="A229" s="36" t="n"/>
      <c r="B229" s="37" t="n"/>
      <c r="C229" s="37" t="n"/>
      <c r="D229" s="38">
        <f>IF(C229="","",IFERROR(INDEX(Anuncios!$B$6:$B$65,MATCH(C229,Anuncios!$A$6:$A$65,0)),"(no está en Anuncios)"))</f>
        <v/>
      </c>
      <c r="E229" s="39" t="n"/>
      <c r="F229" s="40" t="n"/>
      <c r="G229" s="40" t="n"/>
      <c r="H229" s="40" t="n"/>
      <c r="I229" s="39" t="n"/>
      <c r="J229" s="13">
        <f>IF(N(F229)&gt;0,G229/F229,"")</f>
        <v/>
      </c>
      <c r="K229" s="10">
        <f>IF(N(G229)&gt;0,E229/G229,"")</f>
        <v/>
      </c>
      <c r="L229" s="10">
        <f>IF(N(H229)&gt;0,E229/H229,"")</f>
        <v/>
      </c>
      <c r="M229" s="11">
        <f>IF(N(E229)&gt;0,I229/E229,"")</f>
        <v/>
      </c>
      <c r="N229" s="10">
        <f>IF(AND(E229="",I229=""),"",N(I229)*(1-COM-COM_SHOP)-N(E229)*(1+IMP_META))</f>
        <v/>
      </c>
      <c r="O229" s="37" t="n"/>
    </row>
    <row r="230">
      <c r="A230" s="36" t="n"/>
      <c r="B230" s="37" t="n"/>
      <c r="C230" s="37" t="n"/>
      <c r="D230" s="38">
        <f>IF(C230="","",IFERROR(INDEX(Anuncios!$B$6:$B$65,MATCH(C230,Anuncios!$A$6:$A$65,0)),"(no está en Anuncios)"))</f>
        <v/>
      </c>
      <c r="E230" s="39" t="n"/>
      <c r="F230" s="40" t="n"/>
      <c r="G230" s="40" t="n"/>
      <c r="H230" s="40" t="n"/>
      <c r="I230" s="39" t="n"/>
      <c r="J230" s="13">
        <f>IF(N(F230)&gt;0,G230/F230,"")</f>
        <v/>
      </c>
      <c r="K230" s="10">
        <f>IF(N(G230)&gt;0,E230/G230,"")</f>
        <v/>
      </c>
      <c r="L230" s="10">
        <f>IF(N(H230)&gt;0,E230/H230,"")</f>
        <v/>
      </c>
      <c r="M230" s="11">
        <f>IF(N(E230)&gt;0,I230/E230,"")</f>
        <v/>
      </c>
      <c r="N230" s="10">
        <f>IF(AND(E230="",I230=""),"",N(I230)*(1-COM-COM_SHOP)-N(E230)*(1+IMP_META))</f>
        <v/>
      </c>
      <c r="O230" s="37" t="n"/>
    </row>
    <row r="231">
      <c r="A231" s="36" t="n"/>
      <c r="B231" s="37" t="n"/>
      <c r="C231" s="37" t="n"/>
      <c r="D231" s="38">
        <f>IF(C231="","",IFERROR(INDEX(Anuncios!$B$6:$B$65,MATCH(C231,Anuncios!$A$6:$A$65,0)),"(no está en Anuncios)"))</f>
        <v/>
      </c>
      <c r="E231" s="39" t="n"/>
      <c r="F231" s="40" t="n"/>
      <c r="G231" s="40" t="n"/>
      <c r="H231" s="40" t="n"/>
      <c r="I231" s="39" t="n"/>
      <c r="J231" s="13">
        <f>IF(N(F231)&gt;0,G231/F231,"")</f>
        <v/>
      </c>
      <c r="K231" s="10">
        <f>IF(N(G231)&gt;0,E231/G231,"")</f>
        <v/>
      </c>
      <c r="L231" s="10">
        <f>IF(N(H231)&gt;0,E231/H231,"")</f>
        <v/>
      </c>
      <c r="M231" s="11">
        <f>IF(N(E231)&gt;0,I231/E231,"")</f>
        <v/>
      </c>
      <c r="N231" s="10">
        <f>IF(AND(E231="",I231=""),"",N(I231)*(1-COM-COM_SHOP)-N(E231)*(1+IMP_META))</f>
        <v/>
      </c>
      <c r="O231" s="37" t="n"/>
    </row>
    <row r="232">
      <c r="A232" s="36" t="n"/>
      <c r="B232" s="37" t="n"/>
      <c r="C232" s="37" t="n"/>
      <c r="D232" s="38">
        <f>IF(C232="","",IFERROR(INDEX(Anuncios!$B$6:$B$65,MATCH(C232,Anuncios!$A$6:$A$65,0)),"(no está en Anuncios)"))</f>
        <v/>
      </c>
      <c r="E232" s="39" t="n"/>
      <c r="F232" s="40" t="n"/>
      <c r="G232" s="40" t="n"/>
      <c r="H232" s="40" t="n"/>
      <c r="I232" s="39" t="n"/>
      <c r="J232" s="13">
        <f>IF(N(F232)&gt;0,G232/F232,"")</f>
        <v/>
      </c>
      <c r="K232" s="10">
        <f>IF(N(G232)&gt;0,E232/G232,"")</f>
        <v/>
      </c>
      <c r="L232" s="10">
        <f>IF(N(H232)&gt;0,E232/H232,"")</f>
        <v/>
      </c>
      <c r="M232" s="11">
        <f>IF(N(E232)&gt;0,I232/E232,"")</f>
        <v/>
      </c>
      <c r="N232" s="10">
        <f>IF(AND(E232="",I232=""),"",N(I232)*(1-COM-COM_SHOP)-N(E232)*(1+IMP_META))</f>
        <v/>
      </c>
      <c r="O232" s="37" t="n"/>
    </row>
    <row r="233">
      <c r="A233" s="36" t="n"/>
      <c r="B233" s="37" t="n"/>
      <c r="C233" s="37" t="n"/>
      <c r="D233" s="38">
        <f>IF(C233="","",IFERROR(INDEX(Anuncios!$B$6:$B$65,MATCH(C233,Anuncios!$A$6:$A$65,0)),"(no está en Anuncios)"))</f>
        <v/>
      </c>
      <c r="E233" s="39" t="n"/>
      <c r="F233" s="40" t="n"/>
      <c r="G233" s="40" t="n"/>
      <c r="H233" s="40" t="n"/>
      <c r="I233" s="39" t="n"/>
      <c r="J233" s="13">
        <f>IF(N(F233)&gt;0,G233/F233,"")</f>
        <v/>
      </c>
      <c r="K233" s="10">
        <f>IF(N(G233)&gt;0,E233/G233,"")</f>
        <v/>
      </c>
      <c r="L233" s="10">
        <f>IF(N(H233)&gt;0,E233/H233,"")</f>
        <v/>
      </c>
      <c r="M233" s="11">
        <f>IF(N(E233)&gt;0,I233/E233,"")</f>
        <v/>
      </c>
      <c r="N233" s="10">
        <f>IF(AND(E233="",I233=""),"",N(I233)*(1-COM-COM_SHOP)-N(E233)*(1+IMP_META))</f>
        <v/>
      </c>
      <c r="O233" s="37" t="n"/>
    </row>
    <row r="234">
      <c r="A234" s="36" t="n"/>
      <c r="B234" s="37" t="n"/>
      <c r="C234" s="37" t="n"/>
      <c r="D234" s="38">
        <f>IF(C234="","",IFERROR(INDEX(Anuncios!$B$6:$B$65,MATCH(C234,Anuncios!$A$6:$A$65,0)),"(no está en Anuncios)"))</f>
        <v/>
      </c>
      <c r="E234" s="39" t="n"/>
      <c r="F234" s="40" t="n"/>
      <c r="G234" s="40" t="n"/>
      <c r="H234" s="40" t="n"/>
      <c r="I234" s="39" t="n"/>
      <c r="J234" s="13">
        <f>IF(N(F234)&gt;0,G234/F234,"")</f>
        <v/>
      </c>
      <c r="K234" s="10">
        <f>IF(N(G234)&gt;0,E234/G234,"")</f>
        <v/>
      </c>
      <c r="L234" s="10">
        <f>IF(N(H234)&gt;0,E234/H234,"")</f>
        <v/>
      </c>
      <c r="M234" s="11">
        <f>IF(N(E234)&gt;0,I234/E234,"")</f>
        <v/>
      </c>
      <c r="N234" s="10">
        <f>IF(AND(E234="",I234=""),"",N(I234)*(1-COM-COM_SHOP)-N(E234)*(1+IMP_META))</f>
        <v/>
      </c>
      <c r="O234" s="37" t="n"/>
    </row>
    <row r="235">
      <c r="A235" s="36" t="n"/>
      <c r="B235" s="37" t="n"/>
      <c r="C235" s="37" t="n"/>
      <c r="D235" s="38">
        <f>IF(C235="","",IFERROR(INDEX(Anuncios!$B$6:$B$65,MATCH(C235,Anuncios!$A$6:$A$65,0)),"(no está en Anuncios)"))</f>
        <v/>
      </c>
      <c r="E235" s="39" t="n"/>
      <c r="F235" s="40" t="n"/>
      <c r="G235" s="40" t="n"/>
      <c r="H235" s="40" t="n"/>
      <c r="I235" s="39" t="n"/>
      <c r="J235" s="13">
        <f>IF(N(F235)&gt;0,G235/F235,"")</f>
        <v/>
      </c>
      <c r="K235" s="10">
        <f>IF(N(G235)&gt;0,E235/G235,"")</f>
        <v/>
      </c>
      <c r="L235" s="10">
        <f>IF(N(H235)&gt;0,E235/H235,"")</f>
        <v/>
      </c>
      <c r="M235" s="11">
        <f>IF(N(E235)&gt;0,I235/E235,"")</f>
        <v/>
      </c>
      <c r="N235" s="10">
        <f>IF(AND(E235="",I235=""),"",N(I235)*(1-COM-COM_SHOP)-N(E235)*(1+IMP_META))</f>
        <v/>
      </c>
      <c r="O235" s="37" t="n"/>
    </row>
    <row r="236">
      <c r="A236" s="36" t="n"/>
      <c r="B236" s="37" t="n"/>
      <c r="C236" s="37" t="n"/>
      <c r="D236" s="38">
        <f>IF(C236="","",IFERROR(INDEX(Anuncios!$B$6:$B$65,MATCH(C236,Anuncios!$A$6:$A$65,0)),"(no está en Anuncios)"))</f>
        <v/>
      </c>
      <c r="E236" s="39" t="n"/>
      <c r="F236" s="40" t="n"/>
      <c r="G236" s="40" t="n"/>
      <c r="H236" s="40" t="n"/>
      <c r="I236" s="39" t="n"/>
      <c r="J236" s="13">
        <f>IF(N(F236)&gt;0,G236/F236,"")</f>
        <v/>
      </c>
      <c r="K236" s="10">
        <f>IF(N(G236)&gt;0,E236/G236,"")</f>
        <v/>
      </c>
      <c r="L236" s="10">
        <f>IF(N(H236)&gt;0,E236/H236,"")</f>
        <v/>
      </c>
      <c r="M236" s="11">
        <f>IF(N(E236)&gt;0,I236/E236,"")</f>
        <v/>
      </c>
      <c r="N236" s="10">
        <f>IF(AND(E236="",I236=""),"",N(I236)*(1-COM-COM_SHOP)-N(E236)*(1+IMP_META))</f>
        <v/>
      </c>
      <c r="O236" s="37" t="n"/>
    </row>
    <row r="237">
      <c r="A237" s="36" t="n"/>
      <c r="B237" s="37" t="n"/>
      <c r="C237" s="37" t="n"/>
      <c r="D237" s="38">
        <f>IF(C237="","",IFERROR(INDEX(Anuncios!$B$6:$B$65,MATCH(C237,Anuncios!$A$6:$A$65,0)),"(no está en Anuncios)"))</f>
        <v/>
      </c>
      <c r="E237" s="39" t="n"/>
      <c r="F237" s="40" t="n"/>
      <c r="G237" s="40" t="n"/>
      <c r="H237" s="40" t="n"/>
      <c r="I237" s="39" t="n"/>
      <c r="J237" s="13">
        <f>IF(N(F237)&gt;0,G237/F237,"")</f>
        <v/>
      </c>
      <c r="K237" s="10">
        <f>IF(N(G237)&gt;0,E237/G237,"")</f>
        <v/>
      </c>
      <c r="L237" s="10">
        <f>IF(N(H237)&gt;0,E237/H237,"")</f>
        <v/>
      </c>
      <c r="M237" s="11">
        <f>IF(N(E237)&gt;0,I237/E237,"")</f>
        <v/>
      </c>
      <c r="N237" s="10">
        <f>IF(AND(E237="",I237=""),"",N(I237)*(1-COM-COM_SHOP)-N(E237)*(1+IMP_META))</f>
        <v/>
      </c>
      <c r="O237" s="37" t="n"/>
    </row>
    <row r="238">
      <c r="A238" s="36" t="n"/>
      <c r="B238" s="37" t="n"/>
      <c r="C238" s="37" t="n"/>
      <c r="D238" s="38">
        <f>IF(C238="","",IFERROR(INDEX(Anuncios!$B$6:$B$65,MATCH(C238,Anuncios!$A$6:$A$65,0)),"(no está en Anuncios)"))</f>
        <v/>
      </c>
      <c r="E238" s="39" t="n"/>
      <c r="F238" s="40" t="n"/>
      <c r="G238" s="40" t="n"/>
      <c r="H238" s="40" t="n"/>
      <c r="I238" s="39" t="n"/>
      <c r="J238" s="13">
        <f>IF(N(F238)&gt;0,G238/F238,"")</f>
        <v/>
      </c>
      <c r="K238" s="10">
        <f>IF(N(G238)&gt;0,E238/G238,"")</f>
        <v/>
      </c>
      <c r="L238" s="10">
        <f>IF(N(H238)&gt;0,E238/H238,"")</f>
        <v/>
      </c>
      <c r="M238" s="11">
        <f>IF(N(E238)&gt;0,I238/E238,"")</f>
        <v/>
      </c>
      <c r="N238" s="10">
        <f>IF(AND(E238="",I238=""),"",N(I238)*(1-COM-COM_SHOP)-N(E238)*(1+IMP_META))</f>
        <v/>
      </c>
      <c r="O238" s="37" t="n"/>
    </row>
    <row r="239">
      <c r="A239" s="36" t="n"/>
      <c r="B239" s="37" t="n"/>
      <c r="C239" s="37" t="n"/>
      <c r="D239" s="38">
        <f>IF(C239="","",IFERROR(INDEX(Anuncios!$B$6:$B$65,MATCH(C239,Anuncios!$A$6:$A$65,0)),"(no está en Anuncios)"))</f>
        <v/>
      </c>
      <c r="E239" s="39" t="n"/>
      <c r="F239" s="40" t="n"/>
      <c r="G239" s="40" t="n"/>
      <c r="H239" s="40" t="n"/>
      <c r="I239" s="39" t="n"/>
      <c r="J239" s="13">
        <f>IF(N(F239)&gt;0,G239/F239,"")</f>
        <v/>
      </c>
      <c r="K239" s="10">
        <f>IF(N(G239)&gt;0,E239/G239,"")</f>
        <v/>
      </c>
      <c r="L239" s="10">
        <f>IF(N(H239)&gt;0,E239/H239,"")</f>
        <v/>
      </c>
      <c r="M239" s="11">
        <f>IF(N(E239)&gt;0,I239/E239,"")</f>
        <v/>
      </c>
      <c r="N239" s="10">
        <f>IF(AND(E239="",I239=""),"",N(I239)*(1-COM-COM_SHOP)-N(E239)*(1+IMP_META))</f>
        <v/>
      </c>
      <c r="O239" s="37" t="n"/>
    </row>
    <row r="240">
      <c r="A240" s="36" t="n"/>
      <c r="B240" s="37" t="n"/>
      <c r="C240" s="37" t="n"/>
      <c r="D240" s="38">
        <f>IF(C240="","",IFERROR(INDEX(Anuncios!$B$6:$B$65,MATCH(C240,Anuncios!$A$6:$A$65,0)),"(no está en Anuncios)"))</f>
        <v/>
      </c>
      <c r="E240" s="39" t="n"/>
      <c r="F240" s="40" t="n"/>
      <c r="G240" s="40" t="n"/>
      <c r="H240" s="40" t="n"/>
      <c r="I240" s="39" t="n"/>
      <c r="J240" s="13">
        <f>IF(N(F240)&gt;0,G240/F240,"")</f>
        <v/>
      </c>
      <c r="K240" s="10">
        <f>IF(N(G240)&gt;0,E240/G240,"")</f>
        <v/>
      </c>
      <c r="L240" s="10">
        <f>IF(N(H240)&gt;0,E240/H240,"")</f>
        <v/>
      </c>
      <c r="M240" s="11">
        <f>IF(N(E240)&gt;0,I240/E240,"")</f>
        <v/>
      </c>
      <c r="N240" s="10">
        <f>IF(AND(E240="",I240=""),"",N(I240)*(1-COM-COM_SHOP)-N(E240)*(1+IMP_META))</f>
        <v/>
      </c>
      <c r="O240" s="37" t="n"/>
    </row>
    <row r="241">
      <c r="A241" s="36" t="n"/>
      <c r="B241" s="37" t="n"/>
      <c r="C241" s="37" t="n"/>
      <c r="D241" s="38">
        <f>IF(C241="","",IFERROR(INDEX(Anuncios!$B$6:$B$65,MATCH(C241,Anuncios!$A$6:$A$65,0)),"(no está en Anuncios)"))</f>
        <v/>
      </c>
      <c r="E241" s="39" t="n"/>
      <c r="F241" s="40" t="n"/>
      <c r="G241" s="40" t="n"/>
      <c r="H241" s="40" t="n"/>
      <c r="I241" s="39" t="n"/>
      <c r="J241" s="13">
        <f>IF(N(F241)&gt;0,G241/F241,"")</f>
        <v/>
      </c>
      <c r="K241" s="10">
        <f>IF(N(G241)&gt;0,E241/G241,"")</f>
        <v/>
      </c>
      <c r="L241" s="10">
        <f>IF(N(H241)&gt;0,E241/H241,"")</f>
        <v/>
      </c>
      <c r="M241" s="11">
        <f>IF(N(E241)&gt;0,I241/E241,"")</f>
        <v/>
      </c>
      <c r="N241" s="10">
        <f>IF(AND(E241="",I241=""),"",N(I241)*(1-COM-COM_SHOP)-N(E241)*(1+IMP_META))</f>
        <v/>
      </c>
      <c r="O241" s="37" t="n"/>
    </row>
    <row r="242">
      <c r="A242" s="36" t="n"/>
      <c r="B242" s="37" t="n"/>
      <c r="C242" s="37" t="n"/>
      <c r="D242" s="38">
        <f>IF(C242="","",IFERROR(INDEX(Anuncios!$B$6:$B$65,MATCH(C242,Anuncios!$A$6:$A$65,0)),"(no está en Anuncios)"))</f>
        <v/>
      </c>
      <c r="E242" s="39" t="n"/>
      <c r="F242" s="40" t="n"/>
      <c r="G242" s="40" t="n"/>
      <c r="H242" s="40" t="n"/>
      <c r="I242" s="39" t="n"/>
      <c r="J242" s="13">
        <f>IF(N(F242)&gt;0,G242/F242,"")</f>
        <v/>
      </c>
      <c r="K242" s="10">
        <f>IF(N(G242)&gt;0,E242/G242,"")</f>
        <v/>
      </c>
      <c r="L242" s="10">
        <f>IF(N(H242)&gt;0,E242/H242,"")</f>
        <v/>
      </c>
      <c r="M242" s="11">
        <f>IF(N(E242)&gt;0,I242/E242,"")</f>
        <v/>
      </c>
      <c r="N242" s="10">
        <f>IF(AND(E242="",I242=""),"",N(I242)*(1-COM-COM_SHOP)-N(E242)*(1+IMP_META))</f>
        <v/>
      </c>
      <c r="O242" s="37" t="n"/>
    </row>
    <row r="243">
      <c r="A243" s="36" t="n"/>
      <c r="B243" s="37" t="n"/>
      <c r="C243" s="37" t="n"/>
      <c r="D243" s="38">
        <f>IF(C243="","",IFERROR(INDEX(Anuncios!$B$6:$B$65,MATCH(C243,Anuncios!$A$6:$A$65,0)),"(no está en Anuncios)"))</f>
        <v/>
      </c>
      <c r="E243" s="39" t="n"/>
      <c r="F243" s="40" t="n"/>
      <c r="G243" s="40" t="n"/>
      <c r="H243" s="40" t="n"/>
      <c r="I243" s="39" t="n"/>
      <c r="J243" s="13">
        <f>IF(N(F243)&gt;0,G243/F243,"")</f>
        <v/>
      </c>
      <c r="K243" s="10">
        <f>IF(N(G243)&gt;0,E243/G243,"")</f>
        <v/>
      </c>
      <c r="L243" s="10">
        <f>IF(N(H243)&gt;0,E243/H243,"")</f>
        <v/>
      </c>
      <c r="M243" s="11">
        <f>IF(N(E243)&gt;0,I243/E243,"")</f>
        <v/>
      </c>
      <c r="N243" s="10">
        <f>IF(AND(E243="",I243=""),"",N(I243)*(1-COM-COM_SHOP)-N(E243)*(1+IMP_META))</f>
        <v/>
      </c>
      <c r="O243" s="37" t="n"/>
    </row>
    <row r="244">
      <c r="A244" s="36" t="n"/>
      <c r="B244" s="37" t="n"/>
      <c r="C244" s="37" t="n"/>
      <c r="D244" s="38">
        <f>IF(C244="","",IFERROR(INDEX(Anuncios!$B$6:$B$65,MATCH(C244,Anuncios!$A$6:$A$65,0)),"(no está en Anuncios)"))</f>
        <v/>
      </c>
      <c r="E244" s="39" t="n"/>
      <c r="F244" s="40" t="n"/>
      <c r="G244" s="40" t="n"/>
      <c r="H244" s="40" t="n"/>
      <c r="I244" s="39" t="n"/>
      <c r="J244" s="13">
        <f>IF(N(F244)&gt;0,G244/F244,"")</f>
        <v/>
      </c>
      <c r="K244" s="10">
        <f>IF(N(G244)&gt;0,E244/G244,"")</f>
        <v/>
      </c>
      <c r="L244" s="10">
        <f>IF(N(H244)&gt;0,E244/H244,"")</f>
        <v/>
      </c>
      <c r="M244" s="11">
        <f>IF(N(E244)&gt;0,I244/E244,"")</f>
        <v/>
      </c>
      <c r="N244" s="10">
        <f>IF(AND(E244="",I244=""),"",N(I244)*(1-COM-COM_SHOP)-N(E244)*(1+IMP_META))</f>
        <v/>
      </c>
      <c r="O244" s="37" t="n"/>
    </row>
    <row r="245">
      <c r="A245" s="36" t="n"/>
      <c r="B245" s="37" t="n"/>
      <c r="C245" s="37" t="n"/>
      <c r="D245" s="38">
        <f>IF(C245="","",IFERROR(INDEX(Anuncios!$B$6:$B$65,MATCH(C245,Anuncios!$A$6:$A$65,0)),"(no está en Anuncios)"))</f>
        <v/>
      </c>
      <c r="E245" s="39" t="n"/>
      <c r="F245" s="40" t="n"/>
      <c r="G245" s="40" t="n"/>
      <c r="H245" s="40" t="n"/>
      <c r="I245" s="39" t="n"/>
      <c r="J245" s="13">
        <f>IF(N(F245)&gt;0,G245/F245,"")</f>
        <v/>
      </c>
      <c r="K245" s="10">
        <f>IF(N(G245)&gt;0,E245/G245,"")</f>
        <v/>
      </c>
      <c r="L245" s="10">
        <f>IF(N(H245)&gt;0,E245/H245,"")</f>
        <v/>
      </c>
      <c r="M245" s="11">
        <f>IF(N(E245)&gt;0,I245/E245,"")</f>
        <v/>
      </c>
      <c r="N245" s="10">
        <f>IF(AND(E245="",I245=""),"",N(I245)*(1-COM-COM_SHOP)-N(E245)*(1+IMP_META))</f>
        <v/>
      </c>
      <c r="O245" s="37" t="n"/>
    </row>
    <row r="246">
      <c r="A246" s="36" t="n"/>
      <c r="B246" s="37" t="n"/>
      <c r="C246" s="37" t="n"/>
      <c r="D246" s="38">
        <f>IF(C246="","",IFERROR(INDEX(Anuncios!$B$6:$B$65,MATCH(C246,Anuncios!$A$6:$A$65,0)),"(no está en Anuncios)"))</f>
        <v/>
      </c>
      <c r="E246" s="39" t="n"/>
      <c r="F246" s="40" t="n"/>
      <c r="G246" s="40" t="n"/>
      <c r="H246" s="40" t="n"/>
      <c r="I246" s="39" t="n"/>
      <c r="J246" s="13">
        <f>IF(N(F246)&gt;0,G246/F246,"")</f>
        <v/>
      </c>
      <c r="K246" s="10">
        <f>IF(N(G246)&gt;0,E246/G246,"")</f>
        <v/>
      </c>
      <c r="L246" s="10">
        <f>IF(N(H246)&gt;0,E246/H246,"")</f>
        <v/>
      </c>
      <c r="M246" s="11">
        <f>IF(N(E246)&gt;0,I246/E246,"")</f>
        <v/>
      </c>
      <c r="N246" s="10">
        <f>IF(AND(E246="",I246=""),"",N(I246)*(1-COM-COM_SHOP)-N(E246)*(1+IMP_META))</f>
        <v/>
      </c>
      <c r="O246" s="37" t="n"/>
    </row>
    <row r="247">
      <c r="A247" s="36" t="n"/>
      <c r="B247" s="37" t="n"/>
      <c r="C247" s="37" t="n"/>
      <c r="D247" s="38">
        <f>IF(C247="","",IFERROR(INDEX(Anuncios!$B$6:$B$65,MATCH(C247,Anuncios!$A$6:$A$65,0)),"(no está en Anuncios)"))</f>
        <v/>
      </c>
      <c r="E247" s="39" t="n"/>
      <c r="F247" s="40" t="n"/>
      <c r="G247" s="40" t="n"/>
      <c r="H247" s="40" t="n"/>
      <c r="I247" s="39" t="n"/>
      <c r="J247" s="13">
        <f>IF(N(F247)&gt;0,G247/F247,"")</f>
        <v/>
      </c>
      <c r="K247" s="10">
        <f>IF(N(G247)&gt;0,E247/G247,"")</f>
        <v/>
      </c>
      <c r="L247" s="10">
        <f>IF(N(H247)&gt;0,E247/H247,"")</f>
        <v/>
      </c>
      <c r="M247" s="11">
        <f>IF(N(E247)&gt;0,I247/E247,"")</f>
        <v/>
      </c>
      <c r="N247" s="10">
        <f>IF(AND(E247="",I247=""),"",N(I247)*(1-COM-COM_SHOP)-N(E247)*(1+IMP_META))</f>
        <v/>
      </c>
      <c r="O247" s="37" t="n"/>
    </row>
    <row r="248">
      <c r="A248" s="36" t="n"/>
      <c r="B248" s="37" t="n"/>
      <c r="C248" s="37" t="n"/>
      <c r="D248" s="38">
        <f>IF(C248="","",IFERROR(INDEX(Anuncios!$B$6:$B$65,MATCH(C248,Anuncios!$A$6:$A$65,0)),"(no está en Anuncios)"))</f>
        <v/>
      </c>
      <c r="E248" s="39" t="n"/>
      <c r="F248" s="40" t="n"/>
      <c r="G248" s="40" t="n"/>
      <c r="H248" s="40" t="n"/>
      <c r="I248" s="39" t="n"/>
      <c r="J248" s="13">
        <f>IF(N(F248)&gt;0,G248/F248,"")</f>
        <v/>
      </c>
      <c r="K248" s="10">
        <f>IF(N(G248)&gt;0,E248/G248,"")</f>
        <v/>
      </c>
      <c r="L248" s="10">
        <f>IF(N(H248)&gt;0,E248/H248,"")</f>
        <v/>
      </c>
      <c r="M248" s="11">
        <f>IF(N(E248)&gt;0,I248/E248,"")</f>
        <v/>
      </c>
      <c r="N248" s="10">
        <f>IF(AND(E248="",I248=""),"",N(I248)*(1-COM-COM_SHOP)-N(E248)*(1+IMP_META))</f>
        <v/>
      </c>
      <c r="O248" s="37" t="n"/>
    </row>
    <row r="249">
      <c r="A249" s="36" t="n"/>
      <c r="B249" s="37" t="n"/>
      <c r="C249" s="37" t="n"/>
      <c r="D249" s="38">
        <f>IF(C249="","",IFERROR(INDEX(Anuncios!$B$6:$B$65,MATCH(C249,Anuncios!$A$6:$A$65,0)),"(no está en Anuncios)"))</f>
        <v/>
      </c>
      <c r="E249" s="39" t="n"/>
      <c r="F249" s="40" t="n"/>
      <c r="G249" s="40" t="n"/>
      <c r="H249" s="40" t="n"/>
      <c r="I249" s="39" t="n"/>
      <c r="J249" s="13">
        <f>IF(N(F249)&gt;0,G249/F249,"")</f>
        <v/>
      </c>
      <c r="K249" s="10">
        <f>IF(N(G249)&gt;0,E249/G249,"")</f>
        <v/>
      </c>
      <c r="L249" s="10">
        <f>IF(N(H249)&gt;0,E249/H249,"")</f>
        <v/>
      </c>
      <c r="M249" s="11">
        <f>IF(N(E249)&gt;0,I249/E249,"")</f>
        <v/>
      </c>
      <c r="N249" s="10">
        <f>IF(AND(E249="",I249=""),"",N(I249)*(1-COM-COM_SHOP)-N(E249)*(1+IMP_META))</f>
        <v/>
      </c>
      <c r="O249" s="37" t="n"/>
    </row>
    <row r="250">
      <c r="A250" s="36" t="n"/>
      <c r="B250" s="37" t="n"/>
      <c r="C250" s="37" t="n"/>
      <c r="D250" s="38">
        <f>IF(C250="","",IFERROR(INDEX(Anuncios!$B$6:$B$65,MATCH(C250,Anuncios!$A$6:$A$65,0)),"(no está en Anuncios)"))</f>
        <v/>
      </c>
      <c r="E250" s="39" t="n"/>
      <c r="F250" s="40" t="n"/>
      <c r="G250" s="40" t="n"/>
      <c r="H250" s="40" t="n"/>
      <c r="I250" s="39" t="n"/>
      <c r="J250" s="13">
        <f>IF(N(F250)&gt;0,G250/F250,"")</f>
        <v/>
      </c>
      <c r="K250" s="10">
        <f>IF(N(G250)&gt;0,E250/G250,"")</f>
        <v/>
      </c>
      <c r="L250" s="10">
        <f>IF(N(H250)&gt;0,E250/H250,"")</f>
        <v/>
      </c>
      <c r="M250" s="11">
        <f>IF(N(E250)&gt;0,I250/E250,"")</f>
        <v/>
      </c>
      <c r="N250" s="10">
        <f>IF(AND(E250="",I250=""),"",N(I250)*(1-COM-COM_SHOP)-N(E250)*(1+IMP_META))</f>
        <v/>
      </c>
      <c r="O250" s="37" t="n"/>
    </row>
    <row r="251">
      <c r="A251" s="36" t="n"/>
      <c r="B251" s="37" t="n"/>
      <c r="C251" s="37" t="n"/>
      <c r="D251" s="38">
        <f>IF(C251="","",IFERROR(INDEX(Anuncios!$B$6:$B$65,MATCH(C251,Anuncios!$A$6:$A$65,0)),"(no está en Anuncios)"))</f>
        <v/>
      </c>
      <c r="E251" s="39" t="n"/>
      <c r="F251" s="40" t="n"/>
      <c r="G251" s="40" t="n"/>
      <c r="H251" s="40" t="n"/>
      <c r="I251" s="39" t="n"/>
      <c r="J251" s="13">
        <f>IF(N(F251)&gt;0,G251/F251,"")</f>
        <v/>
      </c>
      <c r="K251" s="10">
        <f>IF(N(G251)&gt;0,E251/G251,"")</f>
        <v/>
      </c>
      <c r="L251" s="10">
        <f>IF(N(H251)&gt;0,E251/H251,"")</f>
        <v/>
      </c>
      <c r="M251" s="11">
        <f>IF(N(E251)&gt;0,I251/E251,"")</f>
        <v/>
      </c>
      <c r="N251" s="10">
        <f>IF(AND(E251="",I251=""),"",N(I251)*(1-COM-COM_SHOP)-N(E251)*(1+IMP_META))</f>
        <v/>
      </c>
      <c r="O251" s="37" t="n"/>
    </row>
    <row r="252">
      <c r="A252" s="36" t="n"/>
      <c r="B252" s="37" t="n"/>
      <c r="C252" s="37" t="n"/>
      <c r="D252" s="38">
        <f>IF(C252="","",IFERROR(INDEX(Anuncios!$B$6:$B$65,MATCH(C252,Anuncios!$A$6:$A$65,0)),"(no está en Anuncios)"))</f>
        <v/>
      </c>
      <c r="E252" s="39" t="n"/>
      <c r="F252" s="40" t="n"/>
      <c r="G252" s="40" t="n"/>
      <c r="H252" s="40" t="n"/>
      <c r="I252" s="39" t="n"/>
      <c r="J252" s="13">
        <f>IF(N(F252)&gt;0,G252/F252,"")</f>
        <v/>
      </c>
      <c r="K252" s="10">
        <f>IF(N(G252)&gt;0,E252/G252,"")</f>
        <v/>
      </c>
      <c r="L252" s="10">
        <f>IF(N(H252)&gt;0,E252/H252,"")</f>
        <v/>
      </c>
      <c r="M252" s="11">
        <f>IF(N(E252)&gt;0,I252/E252,"")</f>
        <v/>
      </c>
      <c r="N252" s="10">
        <f>IF(AND(E252="",I252=""),"",N(I252)*(1-COM-COM_SHOP)-N(E252)*(1+IMP_META))</f>
        <v/>
      </c>
      <c r="O252" s="37" t="n"/>
    </row>
    <row r="253">
      <c r="A253" s="36" t="n"/>
      <c r="B253" s="37" t="n"/>
      <c r="C253" s="37" t="n"/>
      <c r="D253" s="38">
        <f>IF(C253="","",IFERROR(INDEX(Anuncios!$B$6:$B$65,MATCH(C253,Anuncios!$A$6:$A$65,0)),"(no está en Anuncios)"))</f>
        <v/>
      </c>
      <c r="E253" s="39" t="n"/>
      <c r="F253" s="40" t="n"/>
      <c r="G253" s="40" t="n"/>
      <c r="H253" s="40" t="n"/>
      <c r="I253" s="39" t="n"/>
      <c r="J253" s="13">
        <f>IF(N(F253)&gt;0,G253/F253,"")</f>
        <v/>
      </c>
      <c r="K253" s="10">
        <f>IF(N(G253)&gt;0,E253/G253,"")</f>
        <v/>
      </c>
      <c r="L253" s="10">
        <f>IF(N(H253)&gt;0,E253/H253,"")</f>
        <v/>
      </c>
      <c r="M253" s="11">
        <f>IF(N(E253)&gt;0,I253/E253,"")</f>
        <v/>
      </c>
      <c r="N253" s="10">
        <f>IF(AND(E253="",I253=""),"",N(I253)*(1-COM-COM_SHOP)-N(E253)*(1+IMP_META))</f>
        <v/>
      </c>
      <c r="O253" s="37" t="n"/>
    </row>
    <row r="254">
      <c r="A254" s="36" t="n"/>
      <c r="B254" s="37" t="n"/>
      <c r="C254" s="37" t="n"/>
      <c r="D254" s="38">
        <f>IF(C254="","",IFERROR(INDEX(Anuncios!$B$6:$B$65,MATCH(C254,Anuncios!$A$6:$A$65,0)),"(no está en Anuncios)"))</f>
        <v/>
      </c>
      <c r="E254" s="39" t="n"/>
      <c r="F254" s="40" t="n"/>
      <c r="G254" s="40" t="n"/>
      <c r="H254" s="40" t="n"/>
      <c r="I254" s="39" t="n"/>
      <c r="J254" s="13">
        <f>IF(N(F254)&gt;0,G254/F254,"")</f>
        <v/>
      </c>
      <c r="K254" s="10">
        <f>IF(N(G254)&gt;0,E254/G254,"")</f>
        <v/>
      </c>
      <c r="L254" s="10">
        <f>IF(N(H254)&gt;0,E254/H254,"")</f>
        <v/>
      </c>
      <c r="M254" s="11">
        <f>IF(N(E254)&gt;0,I254/E254,"")</f>
        <v/>
      </c>
      <c r="N254" s="10">
        <f>IF(AND(E254="",I254=""),"",N(I254)*(1-COM-COM_SHOP)-N(E254)*(1+IMP_META))</f>
        <v/>
      </c>
      <c r="O254" s="37" t="n"/>
    </row>
    <row r="255">
      <c r="A255" s="36" t="n"/>
      <c r="B255" s="37" t="n"/>
      <c r="C255" s="37" t="n"/>
      <c r="D255" s="38">
        <f>IF(C255="","",IFERROR(INDEX(Anuncios!$B$6:$B$65,MATCH(C255,Anuncios!$A$6:$A$65,0)),"(no está en Anuncios)"))</f>
        <v/>
      </c>
      <c r="E255" s="39" t="n"/>
      <c r="F255" s="40" t="n"/>
      <c r="G255" s="40" t="n"/>
      <c r="H255" s="40" t="n"/>
      <c r="I255" s="39" t="n"/>
      <c r="J255" s="13">
        <f>IF(N(F255)&gt;0,G255/F255,"")</f>
        <v/>
      </c>
      <c r="K255" s="10">
        <f>IF(N(G255)&gt;0,E255/G255,"")</f>
        <v/>
      </c>
      <c r="L255" s="10">
        <f>IF(N(H255)&gt;0,E255/H255,"")</f>
        <v/>
      </c>
      <c r="M255" s="11">
        <f>IF(N(E255)&gt;0,I255/E255,"")</f>
        <v/>
      </c>
      <c r="N255" s="10">
        <f>IF(AND(E255="",I255=""),"",N(I255)*(1-COM-COM_SHOP)-N(E255)*(1+IMP_META))</f>
        <v/>
      </c>
      <c r="O255" s="37" t="n"/>
    </row>
    <row r="256">
      <c r="A256" s="36" t="n"/>
      <c r="B256" s="37" t="n"/>
      <c r="C256" s="37" t="n"/>
      <c r="D256" s="38">
        <f>IF(C256="","",IFERROR(INDEX(Anuncios!$B$6:$B$65,MATCH(C256,Anuncios!$A$6:$A$65,0)),"(no está en Anuncios)"))</f>
        <v/>
      </c>
      <c r="E256" s="39" t="n"/>
      <c r="F256" s="40" t="n"/>
      <c r="G256" s="40" t="n"/>
      <c r="H256" s="40" t="n"/>
      <c r="I256" s="39" t="n"/>
      <c r="J256" s="13">
        <f>IF(N(F256)&gt;0,G256/F256,"")</f>
        <v/>
      </c>
      <c r="K256" s="10">
        <f>IF(N(G256)&gt;0,E256/G256,"")</f>
        <v/>
      </c>
      <c r="L256" s="10">
        <f>IF(N(H256)&gt;0,E256/H256,"")</f>
        <v/>
      </c>
      <c r="M256" s="11">
        <f>IF(N(E256)&gt;0,I256/E256,"")</f>
        <v/>
      </c>
      <c r="N256" s="10">
        <f>IF(AND(E256="",I256=""),"",N(I256)*(1-COM-COM_SHOP)-N(E256)*(1+IMP_META))</f>
        <v/>
      </c>
      <c r="O256" s="37" t="n"/>
    </row>
    <row r="257">
      <c r="A257" s="36" t="n"/>
      <c r="B257" s="37" t="n"/>
      <c r="C257" s="37" t="n"/>
      <c r="D257" s="38">
        <f>IF(C257="","",IFERROR(INDEX(Anuncios!$B$6:$B$65,MATCH(C257,Anuncios!$A$6:$A$65,0)),"(no está en Anuncios)"))</f>
        <v/>
      </c>
      <c r="E257" s="39" t="n"/>
      <c r="F257" s="40" t="n"/>
      <c r="G257" s="40" t="n"/>
      <c r="H257" s="40" t="n"/>
      <c r="I257" s="39" t="n"/>
      <c r="J257" s="13">
        <f>IF(N(F257)&gt;0,G257/F257,"")</f>
        <v/>
      </c>
      <c r="K257" s="10">
        <f>IF(N(G257)&gt;0,E257/G257,"")</f>
        <v/>
      </c>
      <c r="L257" s="10">
        <f>IF(N(H257)&gt;0,E257/H257,"")</f>
        <v/>
      </c>
      <c r="M257" s="11">
        <f>IF(N(E257)&gt;0,I257/E257,"")</f>
        <v/>
      </c>
      <c r="N257" s="10">
        <f>IF(AND(E257="",I257=""),"",N(I257)*(1-COM-COM_SHOP)-N(E257)*(1+IMP_META))</f>
        <v/>
      </c>
      <c r="O257" s="37" t="n"/>
    </row>
    <row r="258">
      <c r="A258" s="36" t="n"/>
      <c r="B258" s="37" t="n"/>
      <c r="C258" s="37" t="n"/>
      <c r="D258" s="38">
        <f>IF(C258="","",IFERROR(INDEX(Anuncios!$B$6:$B$65,MATCH(C258,Anuncios!$A$6:$A$65,0)),"(no está en Anuncios)"))</f>
        <v/>
      </c>
      <c r="E258" s="39" t="n"/>
      <c r="F258" s="40" t="n"/>
      <c r="G258" s="40" t="n"/>
      <c r="H258" s="40" t="n"/>
      <c r="I258" s="39" t="n"/>
      <c r="J258" s="13">
        <f>IF(N(F258)&gt;0,G258/F258,"")</f>
        <v/>
      </c>
      <c r="K258" s="10">
        <f>IF(N(G258)&gt;0,E258/G258,"")</f>
        <v/>
      </c>
      <c r="L258" s="10">
        <f>IF(N(H258)&gt;0,E258/H258,"")</f>
        <v/>
      </c>
      <c r="M258" s="11">
        <f>IF(N(E258)&gt;0,I258/E258,"")</f>
        <v/>
      </c>
      <c r="N258" s="10">
        <f>IF(AND(E258="",I258=""),"",N(I258)*(1-COM-COM_SHOP)-N(E258)*(1+IMP_META))</f>
        <v/>
      </c>
      <c r="O258" s="37" t="n"/>
    </row>
    <row r="259">
      <c r="A259" s="36" t="n"/>
      <c r="B259" s="37" t="n"/>
      <c r="C259" s="37" t="n"/>
      <c r="D259" s="38">
        <f>IF(C259="","",IFERROR(INDEX(Anuncios!$B$6:$B$65,MATCH(C259,Anuncios!$A$6:$A$65,0)),"(no está en Anuncios)"))</f>
        <v/>
      </c>
      <c r="E259" s="39" t="n"/>
      <c r="F259" s="40" t="n"/>
      <c r="G259" s="40" t="n"/>
      <c r="H259" s="40" t="n"/>
      <c r="I259" s="39" t="n"/>
      <c r="J259" s="13">
        <f>IF(N(F259)&gt;0,G259/F259,"")</f>
        <v/>
      </c>
      <c r="K259" s="10">
        <f>IF(N(G259)&gt;0,E259/G259,"")</f>
        <v/>
      </c>
      <c r="L259" s="10">
        <f>IF(N(H259)&gt;0,E259/H259,"")</f>
        <v/>
      </c>
      <c r="M259" s="11">
        <f>IF(N(E259)&gt;0,I259/E259,"")</f>
        <v/>
      </c>
      <c r="N259" s="10">
        <f>IF(AND(E259="",I259=""),"",N(I259)*(1-COM-COM_SHOP)-N(E259)*(1+IMP_META))</f>
        <v/>
      </c>
      <c r="O259" s="37" t="n"/>
    </row>
    <row r="260">
      <c r="A260" s="36" t="n"/>
      <c r="B260" s="37" t="n"/>
      <c r="C260" s="37" t="n"/>
      <c r="D260" s="38">
        <f>IF(C260="","",IFERROR(INDEX(Anuncios!$B$6:$B$65,MATCH(C260,Anuncios!$A$6:$A$65,0)),"(no está en Anuncios)"))</f>
        <v/>
      </c>
      <c r="E260" s="39" t="n"/>
      <c r="F260" s="40" t="n"/>
      <c r="G260" s="40" t="n"/>
      <c r="H260" s="40" t="n"/>
      <c r="I260" s="39" t="n"/>
      <c r="J260" s="13">
        <f>IF(N(F260)&gt;0,G260/F260,"")</f>
        <v/>
      </c>
      <c r="K260" s="10">
        <f>IF(N(G260)&gt;0,E260/G260,"")</f>
        <v/>
      </c>
      <c r="L260" s="10">
        <f>IF(N(H260)&gt;0,E260/H260,"")</f>
        <v/>
      </c>
      <c r="M260" s="11">
        <f>IF(N(E260)&gt;0,I260/E260,"")</f>
        <v/>
      </c>
      <c r="N260" s="10">
        <f>IF(AND(E260="",I260=""),"",N(I260)*(1-COM-COM_SHOP)-N(E260)*(1+IMP_META))</f>
        <v/>
      </c>
      <c r="O260" s="37" t="n"/>
    </row>
    <row r="261">
      <c r="A261" s="36" t="n"/>
      <c r="B261" s="37" t="n"/>
      <c r="C261" s="37" t="n"/>
      <c r="D261" s="38">
        <f>IF(C261="","",IFERROR(INDEX(Anuncios!$B$6:$B$65,MATCH(C261,Anuncios!$A$6:$A$65,0)),"(no está en Anuncios)"))</f>
        <v/>
      </c>
      <c r="E261" s="39" t="n"/>
      <c r="F261" s="40" t="n"/>
      <c r="G261" s="40" t="n"/>
      <c r="H261" s="40" t="n"/>
      <c r="I261" s="39" t="n"/>
      <c r="J261" s="13">
        <f>IF(N(F261)&gt;0,G261/F261,"")</f>
        <v/>
      </c>
      <c r="K261" s="10">
        <f>IF(N(G261)&gt;0,E261/G261,"")</f>
        <v/>
      </c>
      <c r="L261" s="10">
        <f>IF(N(H261)&gt;0,E261/H261,"")</f>
        <v/>
      </c>
      <c r="M261" s="11">
        <f>IF(N(E261)&gt;0,I261/E261,"")</f>
        <v/>
      </c>
      <c r="N261" s="10">
        <f>IF(AND(E261="",I261=""),"",N(I261)*(1-COM-COM_SHOP)-N(E261)*(1+IMP_META))</f>
        <v/>
      </c>
      <c r="O261" s="37" t="n"/>
    </row>
    <row r="262">
      <c r="A262" s="36" t="n"/>
      <c r="B262" s="37" t="n"/>
      <c r="C262" s="37" t="n"/>
      <c r="D262" s="38">
        <f>IF(C262="","",IFERROR(INDEX(Anuncios!$B$6:$B$65,MATCH(C262,Anuncios!$A$6:$A$65,0)),"(no está en Anuncios)"))</f>
        <v/>
      </c>
      <c r="E262" s="39" t="n"/>
      <c r="F262" s="40" t="n"/>
      <c r="G262" s="40" t="n"/>
      <c r="H262" s="40" t="n"/>
      <c r="I262" s="39" t="n"/>
      <c r="J262" s="13">
        <f>IF(N(F262)&gt;0,G262/F262,"")</f>
        <v/>
      </c>
      <c r="K262" s="10">
        <f>IF(N(G262)&gt;0,E262/G262,"")</f>
        <v/>
      </c>
      <c r="L262" s="10">
        <f>IF(N(H262)&gt;0,E262/H262,"")</f>
        <v/>
      </c>
      <c r="M262" s="11">
        <f>IF(N(E262)&gt;0,I262/E262,"")</f>
        <v/>
      </c>
      <c r="N262" s="10">
        <f>IF(AND(E262="",I262=""),"",N(I262)*(1-COM-COM_SHOP)-N(E262)*(1+IMP_META))</f>
        <v/>
      </c>
      <c r="O262" s="37" t="n"/>
    </row>
    <row r="263">
      <c r="A263" s="36" t="n"/>
      <c r="B263" s="37" t="n"/>
      <c r="C263" s="37" t="n"/>
      <c r="D263" s="38">
        <f>IF(C263="","",IFERROR(INDEX(Anuncios!$B$6:$B$65,MATCH(C263,Anuncios!$A$6:$A$65,0)),"(no está en Anuncios)"))</f>
        <v/>
      </c>
      <c r="E263" s="39" t="n"/>
      <c r="F263" s="40" t="n"/>
      <c r="G263" s="40" t="n"/>
      <c r="H263" s="40" t="n"/>
      <c r="I263" s="39" t="n"/>
      <c r="J263" s="13">
        <f>IF(N(F263)&gt;0,G263/F263,"")</f>
        <v/>
      </c>
      <c r="K263" s="10">
        <f>IF(N(G263)&gt;0,E263/G263,"")</f>
        <v/>
      </c>
      <c r="L263" s="10">
        <f>IF(N(H263)&gt;0,E263/H263,"")</f>
        <v/>
      </c>
      <c r="M263" s="11">
        <f>IF(N(E263)&gt;0,I263/E263,"")</f>
        <v/>
      </c>
      <c r="N263" s="10">
        <f>IF(AND(E263="",I263=""),"",N(I263)*(1-COM-COM_SHOP)-N(E263)*(1+IMP_META))</f>
        <v/>
      </c>
      <c r="O263" s="37" t="n"/>
    </row>
    <row r="264">
      <c r="A264" s="36" t="n"/>
      <c r="B264" s="37" t="n"/>
      <c r="C264" s="37" t="n"/>
      <c r="D264" s="38">
        <f>IF(C264="","",IFERROR(INDEX(Anuncios!$B$6:$B$65,MATCH(C264,Anuncios!$A$6:$A$65,0)),"(no está en Anuncios)"))</f>
        <v/>
      </c>
      <c r="E264" s="39" t="n"/>
      <c r="F264" s="40" t="n"/>
      <c r="G264" s="40" t="n"/>
      <c r="H264" s="40" t="n"/>
      <c r="I264" s="39" t="n"/>
      <c r="J264" s="13">
        <f>IF(N(F264)&gt;0,G264/F264,"")</f>
        <v/>
      </c>
      <c r="K264" s="10">
        <f>IF(N(G264)&gt;0,E264/G264,"")</f>
        <v/>
      </c>
      <c r="L264" s="10">
        <f>IF(N(H264)&gt;0,E264/H264,"")</f>
        <v/>
      </c>
      <c r="M264" s="11">
        <f>IF(N(E264)&gt;0,I264/E264,"")</f>
        <v/>
      </c>
      <c r="N264" s="10">
        <f>IF(AND(E264="",I264=""),"",N(I264)*(1-COM-COM_SHOP)-N(E264)*(1+IMP_META))</f>
        <v/>
      </c>
      <c r="O264" s="37" t="n"/>
    </row>
    <row r="265">
      <c r="A265" s="36" t="n"/>
      <c r="B265" s="37" t="n"/>
      <c r="C265" s="37" t="n"/>
      <c r="D265" s="38">
        <f>IF(C265="","",IFERROR(INDEX(Anuncios!$B$6:$B$65,MATCH(C265,Anuncios!$A$6:$A$65,0)),"(no está en Anuncios)"))</f>
        <v/>
      </c>
      <c r="E265" s="39" t="n"/>
      <c r="F265" s="40" t="n"/>
      <c r="G265" s="40" t="n"/>
      <c r="H265" s="40" t="n"/>
      <c r="I265" s="39" t="n"/>
      <c r="J265" s="13">
        <f>IF(N(F265)&gt;0,G265/F265,"")</f>
        <v/>
      </c>
      <c r="K265" s="10">
        <f>IF(N(G265)&gt;0,E265/G265,"")</f>
        <v/>
      </c>
      <c r="L265" s="10">
        <f>IF(N(H265)&gt;0,E265/H265,"")</f>
        <v/>
      </c>
      <c r="M265" s="11">
        <f>IF(N(E265)&gt;0,I265/E265,"")</f>
        <v/>
      </c>
      <c r="N265" s="10">
        <f>IF(AND(E265="",I265=""),"",N(I265)*(1-COM-COM_SHOP)-N(E265)*(1+IMP_META))</f>
        <v/>
      </c>
      <c r="O265" s="37" t="n"/>
    </row>
    <row r="266">
      <c r="A266" s="36" t="n"/>
      <c r="B266" s="37" t="n"/>
      <c r="C266" s="37" t="n"/>
      <c r="D266" s="38">
        <f>IF(C266="","",IFERROR(INDEX(Anuncios!$B$6:$B$65,MATCH(C266,Anuncios!$A$6:$A$65,0)),"(no está en Anuncios)"))</f>
        <v/>
      </c>
      <c r="E266" s="39" t="n"/>
      <c r="F266" s="40" t="n"/>
      <c r="G266" s="40" t="n"/>
      <c r="H266" s="40" t="n"/>
      <c r="I266" s="39" t="n"/>
      <c r="J266" s="13">
        <f>IF(N(F266)&gt;0,G266/F266,"")</f>
        <v/>
      </c>
      <c r="K266" s="10">
        <f>IF(N(G266)&gt;0,E266/G266,"")</f>
        <v/>
      </c>
      <c r="L266" s="10">
        <f>IF(N(H266)&gt;0,E266/H266,"")</f>
        <v/>
      </c>
      <c r="M266" s="11">
        <f>IF(N(E266)&gt;0,I266/E266,"")</f>
        <v/>
      </c>
      <c r="N266" s="10">
        <f>IF(AND(E266="",I266=""),"",N(I266)*(1-COM-COM_SHOP)-N(E266)*(1+IMP_META))</f>
        <v/>
      </c>
      <c r="O266" s="37" t="n"/>
    </row>
    <row r="267">
      <c r="A267" s="36" t="n"/>
      <c r="B267" s="37" t="n"/>
      <c r="C267" s="37" t="n"/>
      <c r="D267" s="38">
        <f>IF(C267="","",IFERROR(INDEX(Anuncios!$B$6:$B$65,MATCH(C267,Anuncios!$A$6:$A$65,0)),"(no está en Anuncios)"))</f>
        <v/>
      </c>
      <c r="E267" s="39" t="n"/>
      <c r="F267" s="40" t="n"/>
      <c r="G267" s="40" t="n"/>
      <c r="H267" s="40" t="n"/>
      <c r="I267" s="39" t="n"/>
      <c r="J267" s="13">
        <f>IF(N(F267)&gt;0,G267/F267,"")</f>
        <v/>
      </c>
      <c r="K267" s="10">
        <f>IF(N(G267)&gt;0,E267/G267,"")</f>
        <v/>
      </c>
      <c r="L267" s="10">
        <f>IF(N(H267)&gt;0,E267/H267,"")</f>
        <v/>
      </c>
      <c r="M267" s="11">
        <f>IF(N(E267)&gt;0,I267/E267,"")</f>
        <v/>
      </c>
      <c r="N267" s="10">
        <f>IF(AND(E267="",I267=""),"",N(I267)*(1-COM-COM_SHOP)-N(E267)*(1+IMP_META))</f>
        <v/>
      </c>
      <c r="O267" s="37" t="n"/>
    </row>
    <row r="268">
      <c r="A268" s="36" t="n"/>
      <c r="B268" s="37" t="n"/>
      <c r="C268" s="37" t="n"/>
      <c r="D268" s="38">
        <f>IF(C268="","",IFERROR(INDEX(Anuncios!$B$6:$B$65,MATCH(C268,Anuncios!$A$6:$A$65,0)),"(no está en Anuncios)"))</f>
        <v/>
      </c>
      <c r="E268" s="39" t="n"/>
      <c r="F268" s="40" t="n"/>
      <c r="G268" s="40" t="n"/>
      <c r="H268" s="40" t="n"/>
      <c r="I268" s="39" t="n"/>
      <c r="J268" s="13">
        <f>IF(N(F268)&gt;0,G268/F268,"")</f>
        <v/>
      </c>
      <c r="K268" s="10">
        <f>IF(N(G268)&gt;0,E268/G268,"")</f>
        <v/>
      </c>
      <c r="L268" s="10">
        <f>IF(N(H268)&gt;0,E268/H268,"")</f>
        <v/>
      </c>
      <c r="M268" s="11">
        <f>IF(N(E268)&gt;0,I268/E268,"")</f>
        <v/>
      </c>
      <c r="N268" s="10">
        <f>IF(AND(E268="",I268=""),"",N(I268)*(1-COM-COM_SHOP)-N(E268)*(1+IMP_META))</f>
        <v/>
      </c>
      <c r="O268" s="37" t="n"/>
    </row>
    <row r="269">
      <c r="A269" s="36" t="n"/>
      <c r="B269" s="37" t="n"/>
      <c r="C269" s="37" t="n"/>
      <c r="D269" s="38">
        <f>IF(C269="","",IFERROR(INDEX(Anuncios!$B$6:$B$65,MATCH(C269,Anuncios!$A$6:$A$65,0)),"(no está en Anuncios)"))</f>
        <v/>
      </c>
      <c r="E269" s="39" t="n"/>
      <c r="F269" s="40" t="n"/>
      <c r="G269" s="40" t="n"/>
      <c r="H269" s="40" t="n"/>
      <c r="I269" s="39" t="n"/>
      <c r="J269" s="13">
        <f>IF(N(F269)&gt;0,G269/F269,"")</f>
        <v/>
      </c>
      <c r="K269" s="10">
        <f>IF(N(G269)&gt;0,E269/G269,"")</f>
        <v/>
      </c>
      <c r="L269" s="10">
        <f>IF(N(H269)&gt;0,E269/H269,"")</f>
        <v/>
      </c>
      <c r="M269" s="11">
        <f>IF(N(E269)&gt;0,I269/E269,"")</f>
        <v/>
      </c>
      <c r="N269" s="10">
        <f>IF(AND(E269="",I269=""),"",N(I269)*(1-COM-COM_SHOP)-N(E269)*(1+IMP_META))</f>
        <v/>
      </c>
      <c r="O269" s="37" t="n"/>
    </row>
    <row r="270">
      <c r="A270" s="36" t="n"/>
      <c r="B270" s="37" t="n"/>
      <c r="C270" s="37" t="n"/>
      <c r="D270" s="38">
        <f>IF(C270="","",IFERROR(INDEX(Anuncios!$B$6:$B$65,MATCH(C270,Anuncios!$A$6:$A$65,0)),"(no está en Anuncios)"))</f>
        <v/>
      </c>
      <c r="E270" s="39" t="n"/>
      <c r="F270" s="40" t="n"/>
      <c r="G270" s="40" t="n"/>
      <c r="H270" s="40" t="n"/>
      <c r="I270" s="39" t="n"/>
      <c r="J270" s="13">
        <f>IF(N(F270)&gt;0,G270/F270,"")</f>
        <v/>
      </c>
      <c r="K270" s="10">
        <f>IF(N(G270)&gt;0,E270/G270,"")</f>
        <v/>
      </c>
      <c r="L270" s="10">
        <f>IF(N(H270)&gt;0,E270/H270,"")</f>
        <v/>
      </c>
      <c r="M270" s="11">
        <f>IF(N(E270)&gt;0,I270/E270,"")</f>
        <v/>
      </c>
      <c r="N270" s="10">
        <f>IF(AND(E270="",I270=""),"",N(I270)*(1-COM-COM_SHOP)-N(E270)*(1+IMP_META))</f>
        <v/>
      </c>
      <c r="O270" s="37" t="n"/>
    </row>
    <row r="271">
      <c r="A271" s="36" t="n"/>
      <c r="B271" s="37" t="n"/>
      <c r="C271" s="37" t="n"/>
      <c r="D271" s="38">
        <f>IF(C271="","",IFERROR(INDEX(Anuncios!$B$6:$B$65,MATCH(C271,Anuncios!$A$6:$A$65,0)),"(no está en Anuncios)"))</f>
        <v/>
      </c>
      <c r="E271" s="39" t="n"/>
      <c r="F271" s="40" t="n"/>
      <c r="G271" s="40" t="n"/>
      <c r="H271" s="40" t="n"/>
      <c r="I271" s="39" t="n"/>
      <c r="J271" s="13">
        <f>IF(N(F271)&gt;0,G271/F271,"")</f>
        <v/>
      </c>
      <c r="K271" s="10">
        <f>IF(N(G271)&gt;0,E271/G271,"")</f>
        <v/>
      </c>
      <c r="L271" s="10">
        <f>IF(N(H271)&gt;0,E271/H271,"")</f>
        <v/>
      </c>
      <c r="M271" s="11">
        <f>IF(N(E271)&gt;0,I271/E271,"")</f>
        <v/>
      </c>
      <c r="N271" s="10">
        <f>IF(AND(E271="",I271=""),"",N(I271)*(1-COM-COM_SHOP)-N(E271)*(1+IMP_META))</f>
        <v/>
      </c>
      <c r="O271" s="37" t="n"/>
    </row>
    <row r="272">
      <c r="A272" s="36" t="n"/>
      <c r="B272" s="37" t="n"/>
      <c r="C272" s="37" t="n"/>
      <c r="D272" s="38">
        <f>IF(C272="","",IFERROR(INDEX(Anuncios!$B$6:$B$65,MATCH(C272,Anuncios!$A$6:$A$65,0)),"(no está en Anuncios)"))</f>
        <v/>
      </c>
      <c r="E272" s="39" t="n"/>
      <c r="F272" s="40" t="n"/>
      <c r="G272" s="40" t="n"/>
      <c r="H272" s="40" t="n"/>
      <c r="I272" s="39" t="n"/>
      <c r="J272" s="13">
        <f>IF(N(F272)&gt;0,G272/F272,"")</f>
        <v/>
      </c>
      <c r="K272" s="10">
        <f>IF(N(G272)&gt;0,E272/G272,"")</f>
        <v/>
      </c>
      <c r="L272" s="10">
        <f>IF(N(H272)&gt;0,E272/H272,"")</f>
        <v/>
      </c>
      <c r="M272" s="11">
        <f>IF(N(E272)&gt;0,I272/E272,"")</f>
        <v/>
      </c>
      <c r="N272" s="10">
        <f>IF(AND(E272="",I272=""),"",N(I272)*(1-COM-COM_SHOP)-N(E272)*(1+IMP_META))</f>
        <v/>
      </c>
      <c r="O272" s="37" t="n"/>
    </row>
    <row r="273">
      <c r="A273" s="36" t="n"/>
      <c r="B273" s="37" t="n"/>
      <c r="C273" s="37" t="n"/>
      <c r="D273" s="38">
        <f>IF(C273="","",IFERROR(INDEX(Anuncios!$B$6:$B$65,MATCH(C273,Anuncios!$A$6:$A$65,0)),"(no está en Anuncios)"))</f>
        <v/>
      </c>
      <c r="E273" s="39" t="n"/>
      <c r="F273" s="40" t="n"/>
      <c r="G273" s="40" t="n"/>
      <c r="H273" s="40" t="n"/>
      <c r="I273" s="39" t="n"/>
      <c r="J273" s="13">
        <f>IF(N(F273)&gt;0,G273/F273,"")</f>
        <v/>
      </c>
      <c r="K273" s="10">
        <f>IF(N(G273)&gt;0,E273/G273,"")</f>
        <v/>
      </c>
      <c r="L273" s="10">
        <f>IF(N(H273)&gt;0,E273/H273,"")</f>
        <v/>
      </c>
      <c r="M273" s="11">
        <f>IF(N(E273)&gt;0,I273/E273,"")</f>
        <v/>
      </c>
      <c r="N273" s="10">
        <f>IF(AND(E273="",I273=""),"",N(I273)*(1-COM-COM_SHOP)-N(E273)*(1+IMP_META))</f>
        <v/>
      </c>
      <c r="O273" s="37" t="n"/>
    </row>
    <row r="274">
      <c r="A274" s="36" t="n"/>
      <c r="B274" s="37" t="n"/>
      <c r="C274" s="37" t="n"/>
      <c r="D274" s="38">
        <f>IF(C274="","",IFERROR(INDEX(Anuncios!$B$6:$B$65,MATCH(C274,Anuncios!$A$6:$A$65,0)),"(no está en Anuncios)"))</f>
        <v/>
      </c>
      <c r="E274" s="39" t="n"/>
      <c r="F274" s="40" t="n"/>
      <c r="G274" s="40" t="n"/>
      <c r="H274" s="40" t="n"/>
      <c r="I274" s="39" t="n"/>
      <c r="J274" s="13">
        <f>IF(N(F274)&gt;0,G274/F274,"")</f>
        <v/>
      </c>
      <c r="K274" s="10">
        <f>IF(N(G274)&gt;0,E274/G274,"")</f>
        <v/>
      </c>
      <c r="L274" s="10">
        <f>IF(N(H274)&gt;0,E274/H274,"")</f>
        <v/>
      </c>
      <c r="M274" s="11">
        <f>IF(N(E274)&gt;0,I274/E274,"")</f>
        <v/>
      </c>
      <c r="N274" s="10">
        <f>IF(AND(E274="",I274=""),"",N(I274)*(1-COM-COM_SHOP)-N(E274)*(1+IMP_META))</f>
        <v/>
      </c>
      <c r="O274" s="37" t="n"/>
    </row>
    <row r="275">
      <c r="A275" s="36" t="n"/>
      <c r="B275" s="37" t="n"/>
      <c r="C275" s="37" t="n"/>
      <c r="D275" s="38">
        <f>IF(C275="","",IFERROR(INDEX(Anuncios!$B$6:$B$65,MATCH(C275,Anuncios!$A$6:$A$65,0)),"(no está en Anuncios)"))</f>
        <v/>
      </c>
      <c r="E275" s="39" t="n"/>
      <c r="F275" s="40" t="n"/>
      <c r="G275" s="40" t="n"/>
      <c r="H275" s="40" t="n"/>
      <c r="I275" s="39" t="n"/>
      <c r="J275" s="13">
        <f>IF(N(F275)&gt;0,G275/F275,"")</f>
        <v/>
      </c>
      <c r="K275" s="10">
        <f>IF(N(G275)&gt;0,E275/G275,"")</f>
        <v/>
      </c>
      <c r="L275" s="10">
        <f>IF(N(H275)&gt;0,E275/H275,"")</f>
        <v/>
      </c>
      <c r="M275" s="11">
        <f>IF(N(E275)&gt;0,I275/E275,"")</f>
        <v/>
      </c>
      <c r="N275" s="10">
        <f>IF(AND(E275="",I275=""),"",N(I275)*(1-COM-COM_SHOP)-N(E275)*(1+IMP_META))</f>
        <v/>
      </c>
      <c r="O275" s="37" t="n"/>
    </row>
    <row r="276">
      <c r="A276" s="36" t="n"/>
      <c r="B276" s="37" t="n"/>
      <c r="C276" s="37" t="n"/>
      <c r="D276" s="38">
        <f>IF(C276="","",IFERROR(INDEX(Anuncios!$B$6:$B$65,MATCH(C276,Anuncios!$A$6:$A$65,0)),"(no está en Anuncios)"))</f>
        <v/>
      </c>
      <c r="E276" s="39" t="n"/>
      <c r="F276" s="40" t="n"/>
      <c r="G276" s="40" t="n"/>
      <c r="H276" s="40" t="n"/>
      <c r="I276" s="39" t="n"/>
      <c r="J276" s="13">
        <f>IF(N(F276)&gt;0,G276/F276,"")</f>
        <v/>
      </c>
      <c r="K276" s="10">
        <f>IF(N(G276)&gt;0,E276/G276,"")</f>
        <v/>
      </c>
      <c r="L276" s="10">
        <f>IF(N(H276)&gt;0,E276/H276,"")</f>
        <v/>
      </c>
      <c r="M276" s="11">
        <f>IF(N(E276)&gt;0,I276/E276,"")</f>
        <v/>
      </c>
      <c r="N276" s="10">
        <f>IF(AND(E276="",I276=""),"",N(I276)*(1-COM-COM_SHOP)-N(E276)*(1+IMP_META))</f>
        <v/>
      </c>
      <c r="O276" s="37" t="n"/>
    </row>
    <row r="277">
      <c r="A277" s="36" t="n"/>
      <c r="B277" s="37" t="n"/>
      <c r="C277" s="37" t="n"/>
      <c r="D277" s="38">
        <f>IF(C277="","",IFERROR(INDEX(Anuncios!$B$6:$B$65,MATCH(C277,Anuncios!$A$6:$A$65,0)),"(no está en Anuncios)"))</f>
        <v/>
      </c>
      <c r="E277" s="39" t="n"/>
      <c r="F277" s="40" t="n"/>
      <c r="G277" s="40" t="n"/>
      <c r="H277" s="40" t="n"/>
      <c r="I277" s="39" t="n"/>
      <c r="J277" s="13">
        <f>IF(N(F277)&gt;0,G277/F277,"")</f>
        <v/>
      </c>
      <c r="K277" s="10">
        <f>IF(N(G277)&gt;0,E277/G277,"")</f>
        <v/>
      </c>
      <c r="L277" s="10">
        <f>IF(N(H277)&gt;0,E277/H277,"")</f>
        <v/>
      </c>
      <c r="M277" s="11">
        <f>IF(N(E277)&gt;0,I277/E277,"")</f>
        <v/>
      </c>
      <c r="N277" s="10">
        <f>IF(AND(E277="",I277=""),"",N(I277)*(1-COM-COM_SHOP)-N(E277)*(1+IMP_META))</f>
        <v/>
      </c>
      <c r="O277" s="37" t="n"/>
    </row>
    <row r="278">
      <c r="A278" s="36" t="n"/>
      <c r="B278" s="37" t="n"/>
      <c r="C278" s="37" t="n"/>
      <c r="D278" s="38">
        <f>IF(C278="","",IFERROR(INDEX(Anuncios!$B$6:$B$65,MATCH(C278,Anuncios!$A$6:$A$65,0)),"(no está en Anuncios)"))</f>
        <v/>
      </c>
      <c r="E278" s="39" t="n"/>
      <c r="F278" s="40" t="n"/>
      <c r="G278" s="40" t="n"/>
      <c r="H278" s="40" t="n"/>
      <c r="I278" s="39" t="n"/>
      <c r="J278" s="13">
        <f>IF(N(F278)&gt;0,G278/F278,"")</f>
        <v/>
      </c>
      <c r="K278" s="10">
        <f>IF(N(G278)&gt;0,E278/G278,"")</f>
        <v/>
      </c>
      <c r="L278" s="10">
        <f>IF(N(H278)&gt;0,E278/H278,"")</f>
        <v/>
      </c>
      <c r="M278" s="11">
        <f>IF(N(E278)&gt;0,I278/E278,"")</f>
        <v/>
      </c>
      <c r="N278" s="10">
        <f>IF(AND(E278="",I278=""),"",N(I278)*(1-COM-COM_SHOP)-N(E278)*(1+IMP_META))</f>
        <v/>
      </c>
      <c r="O278" s="37" t="n"/>
    </row>
    <row r="279">
      <c r="A279" s="36" t="n"/>
      <c r="B279" s="37" t="n"/>
      <c r="C279" s="37" t="n"/>
      <c r="D279" s="38">
        <f>IF(C279="","",IFERROR(INDEX(Anuncios!$B$6:$B$65,MATCH(C279,Anuncios!$A$6:$A$65,0)),"(no está en Anuncios)"))</f>
        <v/>
      </c>
      <c r="E279" s="39" t="n"/>
      <c r="F279" s="40" t="n"/>
      <c r="G279" s="40" t="n"/>
      <c r="H279" s="40" t="n"/>
      <c r="I279" s="39" t="n"/>
      <c r="J279" s="13">
        <f>IF(N(F279)&gt;0,G279/F279,"")</f>
        <v/>
      </c>
      <c r="K279" s="10">
        <f>IF(N(G279)&gt;0,E279/G279,"")</f>
        <v/>
      </c>
      <c r="L279" s="10">
        <f>IF(N(H279)&gt;0,E279/H279,"")</f>
        <v/>
      </c>
      <c r="M279" s="11">
        <f>IF(N(E279)&gt;0,I279/E279,"")</f>
        <v/>
      </c>
      <c r="N279" s="10">
        <f>IF(AND(E279="",I279=""),"",N(I279)*(1-COM-COM_SHOP)-N(E279)*(1+IMP_META))</f>
        <v/>
      </c>
      <c r="O279" s="37" t="n"/>
    </row>
    <row r="280">
      <c r="A280" s="36" t="n"/>
      <c r="B280" s="37" t="n"/>
      <c r="C280" s="37" t="n"/>
      <c r="D280" s="38">
        <f>IF(C280="","",IFERROR(INDEX(Anuncios!$B$6:$B$65,MATCH(C280,Anuncios!$A$6:$A$65,0)),"(no está en Anuncios)"))</f>
        <v/>
      </c>
      <c r="E280" s="39" t="n"/>
      <c r="F280" s="40" t="n"/>
      <c r="G280" s="40" t="n"/>
      <c r="H280" s="40" t="n"/>
      <c r="I280" s="39" t="n"/>
      <c r="J280" s="13">
        <f>IF(N(F280)&gt;0,G280/F280,"")</f>
        <v/>
      </c>
      <c r="K280" s="10">
        <f>IF(N(G280)&gt;0,E280/G280,"")</f>
        <v/>
      </c>
      <c r="L280" s="10">
        <f>IF(N(H280)&gt;0,E280/H280,"")</f>
        <v/>
      </c>
      <c r="M280" s="11">
        <f>IF(N(E280)&gt;0,I280/E280,"")</f>
        <v/>
      </c>
      <c r="N280" s="10">
        <f>IF(AND(E280="",I280=""),"",N(I280)*(1-COM-COM_SHOP)-N(E280)*(1+IMP_META))</f>
        <v/>
      </c>
      <c r="O280" s="37" t="n"/>
    </row>
    <row r="281">
      <c r="A281" s="36" t="n"/>
      <c r="B281" s="37" t="n"/>
      <c r="C281" s="37" t="n"/>
      <c r="D281" s="38">
        <f>IF(C281="","",IFERROR(INDEX(Anuncios!$B$6:$B$65,MATCH(C281,Anuncios!$A$6:$A$65,0)),"(no está en Anuncios)"))</f>
        <v/>
      </c>
      <c r="E281" s="39" t="n"/>
      <c r="F281" s="40" t="n"/>
      <c r="G281" s="40" t="n"/>
      <c r="H281" s="40" t="n"/>
      <c r="I281" s="39" t="n"/>
      <c r="J281" s="13">
        <f>IF(N(F281)&gt;0,G281/F281,"")</f>
        <v/>
      </c>
      <c r="K281" s="10">
        <f>IF(N(G281)&gt;0,E281/G281,"")</f>
        <v/>
      </c>
      <c r="L281" s="10">
        <f>IF(N(H281)&gt;0,E281/H281,"")</f>
        <v/>
      </c>
      <c r="M281" s="11">
        <f>IF(N(E281)&gt;0,I281/E281,"")</f>
        <v/>
      </c>
      <c r="N281" s="10">
        <f>IF(AND(E281="",I281=""),"",N(I281)*(1-COM-COM_SHOP)-N(E281)*(1+IMP_META))</f>
        <v/>
      </c>
      <c r="O281" s="37" t="n"/>
    </row>
    <row r="282">
      <c r="A282" s="36" t="n"/>
      <c r="B282" s="37" t="n"/>
      <c r="C282" s="37" t="n"/>
      <c r="D282" s="38">
        <f>IF(C282="","",IFERROR(INDEX(Anuncios!$B$6:$B$65,MATCH(C282,Anuncios!$A$6:$A$65,0)),"(no está en Anuncios)"))</f>
        <v/>
      </c>
      <c r="E282" s="39" t="n"/>
      <c r="F282" s="40" t="n"/>
      <c r="G282" s="40" t="n"/>
      <c r="H282" s="40" t="n"/>
      <c r="I282" s="39" t="n"/>
      <c r="J282" s="13">
        <f>IF(N(F282)&gt;0,G282/F282,"")</f>
        <v/>
      </c>
      <c r="K282" s="10">
        <f>IF(N(G282)&gt;0,E282/G282,"")</f>
        <v/>
      </c>
      <c r="L282" s="10">
        <f>IF(N(H282)&gt;0,E282/H282,"")</f>
        <v/>
      </c>
      <c r="M282" s="11">
        <f>IF(N(E282)&gt;0,I282/E282,"")</f>
        <v/>
      </c>
      <c r="N282" s="10">
        <f>IF(AND(E282="",I282=""),"",N(I282)*(1-COM-COM_SHOP)-N(E282)*(1+IMP_META))</f>
        <v/>
      </c>
      <c r="O282" s="37" t="n"/>
    </row>
    <row r="283">
      <c r="A283" s="36" t="n"/>
      <c r="B283" s="37" t="n"/>
      <c r="C283" s="37" t="n"/>
      <c r="D283" s="38">
        <f>IF(C283="","",IFERROR(INDEX(Anuncios!$B$6:$B$65,MATCH(C283,Anuncios!$A$6:$A$65,0)),"(no está en Anuncios)"))</f>
        <v/>
      </c>
      <c r="E283" s="39" t="n"/>
      <c r="F283" s="40" t="n"/>
      <c r="G283" s="40" t="n"/>
      <c r="H283" s="40" t="n"/>
      <c r="I283" s="39" t="n"/>
      <c r="J283" s="13">
        <f>IF(N(F283)&gt;0,G283/F283,"")</f>
        <v/>
      </c>
      <c r="K283" s="10">
        <f>IF(N(G283)&gt;0,E283/G283,"")</f>
        <v/>
      </c>
      <c r="L283" s="10">
        <f>IF(N(H283)&gt;0,E283/H283,"")</f>
        <v/>
      </c>
      <c r="M283" s="11">
        <f>IF(N(E283)&gt;0,I283/E283,"")</f>
        <v/>
      </c>
      <c r="N283" s="10">
        <f>IF(AND(E283="",I283=""),"",N(I283)*(1-COM-COM_SHOP)-N(E283)*(1+IMP_META))</f>
        <v/>
      </c>
      <c r="O283" s="37" t="n"/>
    </row>
    <row r="284">
      <c r="A284" s="36" t="n"/>
      <c r="B284" s="37" t="n"/>
      <c r="C284" s="37" t="n"/>
      <c r="D284" s="38">
        <f>IF(C284="","",IFERROR(INDEX(Anuncios!$B$6:$B$65,MATCH(C284,Anuncios!$A$6:$A$65,0)),"(no está en Anuncios)"))</f>
        <v/>
      </c>
      <c r="E284" s="39" t="n"/>
      <c r="F284" s="40" t="n"/>
      <c r="G284" s="40" t="n"/>
      <c r="H284" s="40" t="n"/>
      <c r="I284" s="39" t="n"/>
      <c r="J284" s="13">
        <f>IF(N(F284)&gt;0,G284/F284,"")</f>
        <v/>
      </c>
      <c r="K284" s="10">
        <f>IF(N(G284)&gt;0,E284/G284,"")</f>
        <v/>
      </c>
      <c r="L284" s="10">
        <f>IF(N(H284)&gt;0,E284/H284,"")</f>
        <v/>
      </c>
      <c r="M284" s="11">
        <f>IF(N(E284)&gt;0,I284/E284,"")</f>
        <v/>
      </c>
      <c r="N284" s="10">
        <f>IF(AND(E284="",I284=""),"",N(I284)*(1-COM-COM_SHOP)-N(E284)*(1+IMP_META))</f>
        <v/>
      </c>
      <c r="O284" s="37" t="n"/>
    </row>
    <row r="285">
      <c r="A285" s="36" t="n"/>
      <c r="B285" s="37" t="n"/>
      <c r="C285" s="37" t="n"/>
      <c r="D285" s="38">
        <f>IF(C285="","",IFERROR(INDEX(Anuncios!$B$6:$B$65,MATCH(C285,Anuncios!$A$6:$A$65,0)),"(no está en Anuncios)"))</f>
        <v/>
      </c>
      <c r="E285" s="39" t="n"/>
      <c r="F285" s="40" t="n"/>
      <c r="G285" s="40" t="n"/>
      <c r="H285" s="40" t="n"/>
      <c r="I285" s="39" t="n"/>
      <c r="J285" s="13">
        <f>IF(N(F285)&gt;0,G285/F285,"")</f>
        <v/>
      </c>
      <c r="K285" s="10">
        <f>IF(N(G285)&gt;0,E285/G285,"")</f>
        <v/>
      </c>
      <c r="L285" s="10">
        <f>IF(N(H285)&gt;0,E285/H285,"")</f>
        <v/>
      </c>
      <c r="M285" s="11">
        <f>IF(N(E285)&gt;0,I285/E285,"")</f>
        <v/>
      </c>
      <c r="N285" s="10">
        <f>IF(AND(E285="",I285=""),"",N(I285)*(1-COM-COM_SHOP)-N(E285)*(1+IMP_META))</f>
        <v/>
      </c>
      <c r="O285" s="37" t="n"/>
    </row>
    <row r="286">
      <c r="A286" s="36" t="n"/>
      <c r="B286" s="37" t="n"/>
      <c r="C286" s="37" t="n"/>
      <c r="D286" s="38">
        <f>IF(C286="","",IFERROR(INDEX(Anuncios!$B$6:$B$65,MATCH(C286,Anuncios!$A$6:$A$65,0)),"(no está en Anuncios)"))</f>
        <v/>
      </c>
      <c r="E286" s="39" t="n"/>
      <c r="F286" s="40" t="n"/>
      <c r="G286" s="40" t="n"/>
      <c r="H286" s="40" t="n"/>
      <c r="I286" s="39" t="n"/>
      <c r="J286" s="13">
        <f>IF(N(F286)&gt;0,G286/F286,"")</f>
        <v/>
      </c>
      <c r="K286" s="10">
        <f>IF(N(G286)&gt;0,E286/G286,"")</f>
        <v/>
      </c>
      <c r="L286" s="10">
        <f>IF(N(H286)&gt;0,E286/H286,"")</f>
        <v/>
      </c>
      <c r="M286" s="11">
        <f>IF(N(E286)&gt;0,I286/E286,"")</f>
        <v/>
      </c>
      <c r="N286" s="10">
        <f>IF(AND(E286="",I286=""),"",N(I286)*(1-COM-COM_SHOP)-N(E286)*(1+IMP_META))</f>
        <v/>
      </c>
      <c r="O286" s="37" t="n"/>
    </row>
    <row r="287">
      <c r="A287" s="36" t="n"/>
      <c r="B287" s="37" t="n"/>
      <c r="C287" s="37" t="n"/>
      <c r="D287" s="38">
        <f>IF(C287="","",IFERROR(INDEX(Anuncios!$B$6:$B$65,MATCH(C287,Anuncios!$A$6:$A$65,0)),"(no está en Anuncios)"))</f>
        <v/>
      </c>
      <c r="E287" s="39" t="n"/>
      <c r="F287" s="40" t="n"/>
      <c r="G287" s="40" t="n"/>
      <c r="H287" s="40" t="n"/>
      <c r="I287" s="39" t="n"/>
      <c r="J287" s="13">
        <f>IF(N(F287)&gt;0,G287/F287,"")</f>
        <v/>
      </c>
      <c r="K287" s="10">
        <f>IF(N(G287)&gt;0,E287/G287,"")</f>
        <v/>
      </c>
      <c r="L287" s="10">
        <f>IF(N(H287)&gt;0,E287/H287,"")</f>
        <v/>
      </c>
      <c r="M287" s="11">
        <f>IF(N(E287)&gt;0,I287/E287,"")</f>
        <v/>
      </c>
      <c r="N287" s="10">
        <f>IF(AND(E287="",I287=""),"",N(I287)*(1-COM-COM_SHOP)-N(E287)*(1+IMP_META))</f>
        <v/>
      </c>
      <c r="O287" s="37" t="n"/>
    </row>
    <row r="288">
      <c r="A288" s="36" t="n"/>
      <c r="B288" s="37" t="n"/>
      <c r="C288" s="37" t="n"/>
      <c r="D288" s="38">
        <f>IF(C288="","",IFERROR(INDEX(Anuncios!$B$6:$B$65,MATCH(C288,Anuncios!$A$6:$A$65,0)),"(no está en Anuncios)"))</f>
        <v/>
      </c>
      <c r="E288" s="39" t="n"/>
      <c r="F288" s="40" t="n"/>
      <c r="G288" s="40" t="n"/>
      <c r="H288" s="40" t="n"/>
      <c r="I288" s="39" t="n"/>
      <c r="J288" s="13">
        <f>IF(N(F288)&gt;0,G288/F288,"")</f>
        <v/>
      </c>
      <c r="K288" s="10">
        <f>IF(N(G288)&gt;0,E288/G288,"")</f>
        <v/>
      </c>
      <c r="L288" s="10">
        <f>IF(N(H288)&gt;0,E288/H288,"")</f>
        <v/>
      </c>
      <c r="M288" s="11">
        <f>IF(N(E288)&gt;0,I288/E288,"")</f>
        <v/>
      </c>
      <c r="N288" s="10">
        <f>IF(AND(E288="",I288=""),"",N(I288)*(1-COM-COM_SHOP)-N(E288)*(1+IMP_META))</f>
        <v/>
      </c>
      <c r="O288" s="37" t="n"/>
    </row>
    <row r="289">
      <c r="A289" s="36" t="n"/>
      <c r="B289" s="37" t="n"/>
      <c r="C289" s="37" t="n"/>
      <c r="D289" s="38">
        <f>IF(C289="","",IFERROR(INDEX(Anuncios!$B$6:$B$65,MATCH(C289,Anuncios!$A$6:$A$65,0)),"(no está en Anuncios)"))</f>
        <v/>
      </c>
      <c r="E289" s="39" t="n"/>
      <c r="F289" s="40" t="n"/>
      <c r="G289" s="40" t="n"/>
      <c r="H289" s="40" t="n"/>
      <c r="I289" s="39" t="n"/>
      <c r="J289" s="13">
        <f>IF(N(F289)&gt;0,G289/F289,"")</f>
        <v/>
      </c>
      <c r="K289" s="10">
        <f>IF(N(G289)&gt;0,E289/G289,"")</f>
        <v/>
      </c>
      <c r="L289" s="10">
        <f>IF(N(H289)&gt;0,E289/H289,"")</f>
        <v/>
      </c>
      <c r="M289" s="11">
        <f>IF(N(E289)&gt;0,I289/E289,"")</f>
        <v/>
      </c>
      <c r="N289" s="10">
        <f>IF(AND(E289="",I289=""),"",N(I289)*(1-COM-COM_SHOP)-N(E289)*(1+IMP_META))</f>
        <v/>
      </c>
      <c r="O289" s="37" t="n"/>
    </row>
    <row r="290">
      <c r="A290" s="36" t="n"/>
      <c r="B290" s="37" t="n"/>
      <c r="C290" s="37" t="n"/>
      <c r="D290" s="38">
        <f>IF(C290="","",IFERROR(INDEX(Anuncios!$B$6:$B$65,MATCH(C290,Anuncios!$A$6:$A$65,0)),"(no está en Anuncios)"))</f>
        <v/>
      </c>
      <c r="E290" s="39" t="n"/>
      <c r="F290" s="40" t="n"/>
      <c r="G290" s="40" t="n"/>
      <c r="H290" s="40" t="n"/>
      <c r="I290" s="39" t="n"/>
      <c r="J290" s="13">
        <f>IF(N(F290)&gt;0,G290/F290,"")</f>
        <v/>
      </c>
      <c r="K290" s="10">
        <f>IF(N(G290)&gt;0,E290/G290,"")</f>
        <v/>
      </c>
      <c r="L290" s="10">
        <f>IF(N(H290)&gt;0,E290/H290,"")</f>
        <v/>
      </c>
      <c r="M290" s="11">
        <f>IF(N(E290)&gt;0,I290/E290,"")</f>
        <v/>
      </c>
      <c r="N290" s="10">
        <f>IF(AND(E290="",I290=""),"",N(I290)*(1-COM-COM_SHOP)-N(E290)*(1+IMP_META))</f>
        <v/>
      </c>
      <c r="O290" s="37" t="n"/>
    </row>
    <row r="291">
      <c r="A291" s="36" t="n"/>
      <c r="B291" s="37" t="n"/>
      <c r="C291" s="37" t="n"/>
      <c r="D291" s="38">
        <f>IF(C291="","",IFERROR(INDEX(Anuncios!$B$6:$B$65,MATCH(C291,Anuncios!$A$6:$A$65,0)),"(no está en Anuncios)"))</f>
        <v/>
      </c>
      <c r="E291" s="39" t="n"/>
      <c r="F291" s="40" t="n"/>
      <c r="G291" s="40" t="n"/>
      <c r="H291" s="40" t="n"/>
      <c r="I291" s="39" t="n"/>
      <c r="J291" s="13">
        <f>IF(N(F291)&gt;0,G291/F291,"")</f>
        <v/>
      </c>
      <c r="K291" s="10">
        <f>IF(N(G291)&gt;0,E291/G291,"")</f>
        <v/>
      </c>
      <c r="L291" s="10">
        <f>IF(N(H291)&gt;0,E291/H291,"")</f>
        <v/>
      </c>
      <c r="M291" s="11">
        <f>IF(N(E291)&gt;0,I291/E291,"")</f>
        <v/>
      </c>
      <c r="N291" s="10">
        <f>IF(AND(E291="",I291=""),"",N(I291)*(1-COM-COM_SHOP)-N(E291)*(1+IMP_META))</f>
        <v/>
      </c>
      <c r="O291" s="37" t="n"/>
    </row>
    <row r="292">
      <c r="A292" s="36" t="n"/>
      <c r="B292" s="37" t="n"/>
      <c r="C292" s="37" t="n"/>
      <c r="D292" s="38">
        <f>IF(C292="","",IFERROR(INDEX(Anuncios!$B$6:$B$65,MATCH(C292,Anuncios!$A$6:$A$65,0)),"(no está en Anuncios)"))</f>
        <v/>
      </c>
      <c r="E292" s="39" t="n"/>
      <c r="F292" s="40" t="n"/>
      <c r="G292" s="40" t="n"/>
      <c r="H292" s="40" t="n"/>
      <c r="I292" s="39" t="n"/>
      <c r="J292" s="13">
        <f>IF(N(F292)&gt;0,G292/F292,"")</f>
        <v/>
      </c>
      <c r="K292" s="10">
        <f>IF(N(G292)&gt;0,E292/G292,"")</f>
        <v/>
      </c>
      <c r="L292" s="10">
        <f>IF(N(H292)&gt;0,E292/H292,"")</f>
        <v/>
      </c>
      <c r="M292" s="11">
        <f>IF(N(E292)&gt;0,I292/E292,"")</f>
        <v/>
      </c>
      <c r="N292" s="10">
        <f>IF(AND(E292="",I292=""),"",N(I292)*(1-COM-COM_SHOP)-N(E292)*(1+IMP_META))</f>
        <v/>
      </c>
      <c r="O292" s="37" t="n"/>
    </row>
    <row r="293">
      <c r="A293" s="36" t="n"/>
      <c r="B293" s="37" t="n"/>
      <c r="C293" s="37" t="n"/>
      <c r="D293" s="38">
        <f>IF(C293="","",IFERROR(INDEX(Anuncios!$B$6:$B$65,MATCH(C293,Anuncios!$A$6:$A$65,0)),"(no está en Anuncios)"))</f>
        <v/>
      </c>
      <c r="E293" s="39" t="n"/>
      <c r="F293" s="40" t="n"/>
      <c r="G293" s="40" t="n"/>
      <c r="H293" s="40" t="n"/>
      <c r="I293" s="39" t="n"/>
      <c r="J293" s="13">
        <f>IF(N(F293)&gt;0,G293/F293,"")</f>
        <v/>
      </c>
      <c r="K293" s="10">
        <f>IF(N(G293)&gt;0,E293/G293,"")</f>
        <v/>
      </c>
      <c r="L293" s="10">
        <f>IF(N(H293)&gt;0,E293/H293,"")</f>
        <v/>
      </c>
      <c r="M293" s="11">
        <f>IF(N(E293)&gt;0,I293/E293,"")</f>
        <v/>
      </c>
      <c r="N293" s="10">
        <f>IF(AND(E293="",I293=""),"",N(I293)*(1-COM-COM_SHOP)-N(E293)*(1+IMP_META))</f>
        <v/>
      </c>
      <c r="O293" s="37" t="n"/>
    </row>
    <row r="294">
      <c r="A294" s="36" t="n"/>
      <c r="B294" s="37" t="n"/>
      <c r="C294" s="37" t="n"/>
      <c r="D294" s="38">
        <f>IF(C294="","",IFERROR(INDEX(Anuncios!$B$6:$B$65,MATCH(C294,Anuncios!$A$6:$A$65,0)),"(no está en Anuncios)"))</f>
        <v/>
      </c>
      <c r="E294" s="39" t="n"/>
      <c r="F294" s="40" t="n"/>
      <c r="G294" s="40" t="n"/>
      <c r="H294" s="40" t="n"/>
      <c r="I294" s="39" t="n"/>
      <c r="J294" s="13">
        <f>IF(N(F294)&gt;0,G294/F294,"")</f>
        <v/>
      </c>
      <c r="K294" s="10">
        <f>IF(N(G294)&gt;0,E294/G294,"")</f>
        <v/>
      </c>
      <c r="L294" s="10">
        <f>IF(N(H294)&gt;0,E294/H294,"")</f>
        <v/>
      </c>
      <c r="M294" s="11">
        <f>IF(N(E294)&gt;0,I294/E294,"")</f>
        <v/>
      </c>
      <c r="N294" s="10">
        <f>IF(AND(E294="",I294=""),"",N(I294)*(1-COM-COM_SHOP)-N(E294)*(1+IMP_META))</f>
        <v/>
      </c>
      <c r="O294" s="37" t="n"/>
    </row>
    <row r="295">
      <c r="A295" s="36" t="n"/>
      <c r="B295" s="37" t="n"/>
      <c r="C295" s="37" t="n"/>
      <c r="D295" s="38">
        <f>IF(C295="","",IFERROR(INDEX(Anuncios!$B$6:$B$65,MATCH(C295,Anuncios!$A$6:$A$65,0)),"(no está en Anuncios)"))</f>
        <v/>
      </c>
      <c r="E295" s="39" t="n"/>
      <c r="F295" s="40" t="n"/>
      <c r="G295" s="40" t="n"/>
      <c r="H295" s="40" t="n"/>
      <c r="I295" s="39" t="n"/>
      <c r="J295" s="13">
        <f>IF(N(F295)&gt;0,G295/F295,"")</f>
        <v/>
      </c>
      <c r="K295" s="10">
        <f>IF(N(G295)&gt;0,E295/G295,"")</f>
        <v/>
      </c>
      <c r="L295" s="10">
        <f>IF(N(H295)&gt;0,E295/H295,"")</f>
        <v/>
      </c>
      <c r="M295" s="11">
        <f>IF(N(E295)&gt;0,I295/E295,"")</f>
        <v/>
      </c>
      <c r="N295" s="10">
        <f>IF(AND(E295="",I295=""),"",N(I295)*(1-COM-COM_SHOP)-N(E295)*(1+IMP_META))</f>
        <v/>
      </c>
      <c r="O295" s="37" t="n"/>
    </row>
    <row r="296">
      <c r="A296" s="36" t="n"/>
      <c r="B296" s="37" t="n"/>
      <c r="C296" s="37" t="n"/>
      <c r="D296" s="38">
        <f>IF(C296="","",IFERROR(INDEX(Anuncios!$B$6:$B$65,MATCH(C296,Anuncios!$A$6:$A$65,0)),"(no está en Anuncios)"))</f>
        <v/>
      </c>
      <c r="E296" s="39" t="n"/>
      <c r="F296" s="40" t="n"/>
      <c r="G296" s="40" t="n"/>
      <c r="H296" s="40" t="n"/>
      <c r="I296" s="39" t="n"/>
      <c r="J296" s="13">
        <f>IF(N(F296)&gt;0,G296/F296,"")</f>
        <v/>
      </c>
      <c r="K296" s="10">
        <f>IF(N(G296)&gt;0,E296/G296,"")</f>
        <v/>
      </c>
      <c r="L296" s="10">
        <f>IF(N(H296)&gt;0,E296/H296,"")</f>
        <v/>
      </c>
      <c r="M296" s="11">
        <f>IF(N(E296)&gt;0,I296/E296,"")</f>
        <v/>
      </c>
      <c r="N296" s="10">
        <f>IF(AND(E296="",I296=""),"",N(I296)*(1-COM-COM_SHOP)-N(E296)*(1+IMP_META))</f>
        <v/>
      </c>
      <c r="O296" s="37" t="n"/>
    </row>
    <row r="297">
      <c r="A297" s="36" t="n"/>
      <c r="B297" s="37" t="n"/>
      <c r="C297" s="37" t="n"/>
      <c r="D297" s="38">
        <f>IF(C297="","",IFERROR(INDEX(Anuncios!$B$6:$B$65,MATCH(C297,Anuncios!$A$6:$A$65,0)),"(no está en Anuncios)"))</f>
        <v/>
      </c>
      <c r="E297" s="39" t="n"/>
      <c r="F297" s="40" t="n"/>
      <c r="G297" s="40" t="n"/>
      <c r="H297" s="40" t="n"/>
      <c r="I297" s="39" t="n"/>
      <c r="J297" s="13">
        <f>IF(N(F297)&gt;0,G297/F297,"")</f>
        <v/>
      </c>
      <c r="K297" s="10">
        <f>IF(N(G297)&gt;0,E297/G297,"")</f>
        <v/>
      </c>
      <c r="L297" s="10">
        <f>IF(N(H297)&gt;0,E297/H297,"")</f>
        <v/>
      </c>
      <c r="M297" s="11">
        <f>IF(N(E297)&gt;0,I297/E297,"")</f>
        <v/>
      </c>
      <c r="N297" s="10">
        <f>IF(AND(E297="",I297=""),"",N(I297)*(1-COM-COM_SHOP)-N(E297)*(1+IMP_META))</f>
        <v/>
      </c>
      <c r="O297" s="37" t="n"/>
    </row>
    <row r="298">
      <c r="A298" s="36" t="n"/>
      <c r="B298" s="37" t="n"/>
      <c r="C298" s="37" t="n"/>
      <c r="D298" s="38">
        <f>IF(C298="","",IFERROR(INDEX(Anuncios!$B$6:$B$65,MATCH(C298,Anuncios!$A$6:$A$65,0)),"(no está en Anuncios)"))</f>
        <v/>
      </c>
      <c r="E298" s="39" t="n"/>
      <c r="F298" s="40" t="n"/>
      <c r="G298" s="40" t="n"/>
      <c r="H298" s="40" t="n"/>
      <c r="I298" s="39" t="n"/>
      <c r="J298" s="13">
        <f>IF(N(F298)&gt;0,G298/F298,"")</f>
        <v/>
      </c>
      <c r="K298" s="10">
        <f>IF(N(G298)&gt;0,E298/G298,"")</f>
        <v/>
      </c>
      <c r="L298" s="10">
        <f>IF(N(H298)&gt;0,E298/H298,"")</f>
        <v/>
      </c>
      <c r="M298" s="11">
        <f>IF(N(E298)&gt;0,I298/E298,"")</f>
        <v/>
      </c>
      <c r="N298" s="10">
        <f>IF(AND(E298="",I298=""),"",N(I298)*(1-COM-COM_SHOP)-N(E298)*(1+IMP_META))</f>
        <v/>
      </c>
      <c r="O298" s="37" t="n"/>
    </row>
    <row r="299">
      <c r="A299" s="36" t="n"/>
      <c r="B299" s="37" t="n"/>
      <c r="C299" s="37" t="n"/>
      <c r="D299" s="38">
        <f>IF(C299="","",IFERROR(INDEX(Anuncios!$B$6:$B$65,MATCH(C299,Anuncios!$A$6:$A$65,0)),"(no está en Anuncios)"))</f>
        <v/>
      </c>
      <c r="E299" s="39" t="n"/>
      <c r="F299" s="40" t="n"/>
      <c r="G299" s="40" t="n"/>
      <c r="H299" s="40" t="n"/>
      <c r="I299" s="39" t="n"/>
      <c r="J299" s="13">
        <f>IF(N(F299)&gt;0,G299/F299,"")</f>
        <v/>
      </c>
      <c r="K299" s="10">
        <f>IF(N(G299)&gt;0,E299/G299,"")</f>
        <v/>
      </c>
      <c r="L299" s="10">
        <f>IF(N(H299)&gt;0,E299/H299,"")</f>
        <v/>
      </c>
      <c r="M299" s="11">
        <f>IF(N(E299)&gt;0,I299/E299,"")</f>
        <v/>
      </c>
      <c r="N299" s="10">
        <f>IF(AND(E299="",I299=""),"",N(I299)*(1-COM-COM_SHOP)-N(E299)*(1+IMP_META))</f>
        <v/>
      </c>
      <c r="O299" s="37" t="n"/>
    </row>
    <row r="300">
      <c r="A300" s="36" t="n"/>
      <c r="B300" s="37" t="n"/>
      <c r="C300" s="37" t="n"/>
      <c r="D300" s="38">
        <f>IF(C300="","",IFERROR(INDEX(Anuncios!$B$6:$B$65,MATCH(C300,Anuncios!$A$6:$A$65,0)),"(no está en Anuncios)"))</f>
        <v/>
      </c>
      <c r="E300" s="39" t="n"/>
      <c r="F300" s="40" t="n"/>
      <c r="G300" s="40" t="n"/>
      <c r="H300" s="40" t="n"/>
      <c r="I300" s="39" t="n"/>
      <c r="J300" s="13">
        <f>IF(N(F300)&gt;0,G300/F300,"")</f>
        <v/>
      </c>
      <c r="K300" s="10">
        <f>IF(N(G300)&gt;0,E300/G300,"")</f>
        <v/>
      </c>
      <c r="L300" s="10">
        <f>IF(N(H300)&gt;0,E300/H300,"")</f>
        <v/>
      </c>
      <c r="M300" s="11">
        <f>IF(N(E300)&gt;0,I300/E300,"")</f>
        <v/>
      </c>
      <c r="N300" s="10">
        <f>IF(AND(E300="",I300=""),"",N(I300)*(1-COM-COM_SHOP)-N(E300)*(1+IMP_META))</f>
        <v/>
      </c>
      <c r="O300" s="37" t="n"/>
    </row>
    <row r="301">
      <c r="A301" s="36" t="n"/>
      <c r="B301" s="37" t="n"/>
      <c r="C301" s="37" t="n"/>
      <c r="D301" s="38">
        <f>IF(C301="","",IFERROR(INDEX(Anuncios!$B$6:$B$65,MATCH(C301,Anuncios!$A$6:$A$65,0)),"(no está en Anuncios)"))</f>
        <v/>
      </c>
      <c r="E301" s="39" t="n"/>
      <c r="F301" s="40" t="n"/>
      <c r="G301" s="40" t="n"/>
      <c r="H301" s="40" t="n"/>
      <c r="I301" s="39" t="n"/>
      <c r="J301" s="13">
        <f>IF(N(F301)&gt;0,G301/F301,"")</f>
        <v/>
      </c>
      <c r="K301" s="10">
        <f>IF(N(G301)&gt;0,E301/G301,"")</f>
        <v/>
      </c>
      <c r="L301" s="10">
        <f>IF(N(H301)&gt;0,E301/H301,"")</f>
        <v/>
      </c>
      <c r="M301" s="11">
        <f>IF(N(E301)&gt;0,I301/E301,"")</f>
        <v/>
      </c>
      <c r="N301" s="10">
        <f>IF(AND(E301="",I301=""),"",N(I301)*(1-COM-COM_SHOP)-N(E301)*(1+IMP_META))</f>
        <v/>
      </c>
      <c r="O301" s="37" t="n"/>
    </row>
    <row r="302">
      <c r="A302" s="36" t="n"/>
      <c r="B302" s="37" t="n"/>
      <c r="C302" s="37" t="n"/>
      <c r="D302" s="38">
        <f>IF(C302="","",IFERROR(INDEX(Anuncios!$B$6:$B$65,MATCH(C302,Anuncios!$A$6:$A$65,0)),"(no está en Anuncios)"))</f>
        <v/>
      </c>
      <c r="E302" s="39" t="n"/>
      <c r="F302" s="40" t="n"/>
      <c r="G302" s="40" t="n"/>
      <c r="H302" s="40" t="n"/>
      <c r="I302" s="39" t="n"/>
      <c r="J302" s="13">
        <f>IF(N(F302)&gt;0,G302/F302,"")</f>
        <v/>
      </c>
      <c r="K302" s="10">
        <f>IF(N(G302)&gt;0,E302/G302,"")</f>
        <v/>
      </c>
      <c r="L302" s="10">
        <f>IF(N(H302)&gt;0,E302/H302,"")</f>
        <v/>
      </c>
      <c r="M302" s="11">
        <f>IF(N(E302)&gt;0,I302/E302,"")</f>
        <v/>
      </c>
      <c r="N302" s="10">
        <f>IF(AND(E302="",I302=""),"",N(I302)*(1-COM-COM_SHOP)-N(E302)*(1+IMP_META))</f>
        <v/>
      </c>
      <c r="O302" s="37" t="n"/>
    </row>
    <row r="303">
      <c r="A303" s="36" t="n"/>
      <c r="B303" s="37" t="n"/>
      <c r="C303" s="37" t="n"/>
      <c r="D303" s="38">
        <f>IF(C303="","",IFERROR(INDEX(Anuncios!$B$6:$B$65,MATCH(C303,Anuncios!$A$6:$A$65,0)),"(no está en Anuncios)"))</f>
        <v/>
      </c>
      <c r="E303" s="39" t="n"/>
      <c r="F303" s="40" t="n"/>
      <c r="G303" s="40" t="n"/>
      <c r="H303" s="40" t="n"/>
      <c r="I303" s="39" t="n"/>
      <c r="J303" s="13">
        <f>IF(N(F303)&gt;0,G303/F303,"")</f>
        <v/>
      </c>
      <c r="K303" s="10">
        <f>IF(N(G303)&gt;0,E303/G303,"")</f>
        <v/>
      </c>
      <c r="L303" s="10">
        <f>IF(N(H303)&gt;0,E303/H303,"")</f>
        <v/>
      </c>
      <c r="M303" s="11">
        <f>IF(N(E303)&gt;0,I303/E303,"")</f>
        <v/>
      </c>
      <c r="N303" s="10">
        <f>IF(AND(E303="",I303=""),"",N(I303)*(1-COM-COM_SHOP)-N(E303)*(1+IMP_META))</f>
        <v/>
      </c>
      <c r="O303" s="37" t="n"/>
    </row>
    <row r="304">
      <c r="A304" s="36" t="n"/>
      <c r="B304" s="37" t="n"/>
      <c r="C304" s="37" t="n"/>
      <c r="D304" s="38">
        <f>IF(C304="","",IFERROR(INDEX(Anuncios!$B$6:$B$65,MATCH(C304,Anuncios!$A$6:$A$65,0)),"(no está en Anuncios)"))</f>
        <v/>
      </c>
      <c r="E304" s="39" t="n"/>
      <c r="F304" s="40" t="n"/>
      <c r="G304" s="40" t="n"/>
      <c r="H304" s="40" t="n"/>
      <c r="I304" s="39" t="n"/>
      <c r="J304" s="13">
        <f>IF(N(F304)&gt;0,G304/F304,"")</f>
        <v/>
      </c>
      <c r="K304" s="10">
        <f>IF(N(G304)&gt;0,E304/G304,"")</f>
        <v/>
      </c>
      <c r="L304" s="10">
        <f>IF(N(H304)&gt;0,E304/H304,"")</f>
        <v/>
      </c>
      <c r="M304" s="11">
        <f>IF(N(E304)&gt;0,I304/E304,"")</f>
        <v/>
      </c>
      <c r="N304" s="10">
        <f>IF(AND(E304="",I304=""),"",N(I304)*(1-COM-COM_SHOP)-N(E304)*(1+IMP_META))</f>
        <v/>
      </c>
      <c r="O304" s="37" t="n"/>
    </row>
    <row r="305">
      <c r="A305" s="36" t="n"/>
      <c r="B305" s="37" t="n"/>
      <c r="C305" s="37" t="n"/>
      <c r="D305" s="38">
        <f>IF(C305="","",IFERROR(INDEX(Anuncios!$B$6:$B$65,MATCH(C305,Anuncios!$A$6:$A$65,0)),"(no está en Anuncios)"))</f>
        <v/>
      </c>
      <c r="E305" s="39" t="n"/>
      <c r="F305" s="40" t="n"/>
      <c r="G305" s="40" t="n"/>
      <c r="H305" s="40" t="n"/>
      <c r="I305" s="39" t="n"/>
      <c r="J305" s="13">
        <f>IF(N(F305)&gt;0,G305/F305,"")</f>
        <v/>
      </c>
      <c r="K305" s="10">
        <f>IF(N(G305)&gt;0,E305/G305,"")</f>
        <v/>
      </c>
      <c r="L305" s="10">
        <f>IF(N(H305)&gt;0,E305/H305,"")</f>
        <v/>
      </c>
      <c r="M305" s="11">
        <f>IF(N(E305)&gt;0,I305/E305,"")</f>
        <v/>
      </c>
      <c r="N305" s="10">
        <f>IF(AND(E305="",I305=""),"",N(I305)*(1-COM-COM_SHOP)-N(E305)*(1+IMP_META))</f>
        <v/>
      </c>
      <c r="O305" s="37" t="n"/>
    </row>
    <row r="306">
      <c r="A306" s="36" t="n"/>
      <c r="B306" s="37" t="n"/>
      <c r="C306" s="37" t="n"/>
      <c r="D306" s="38">
        <f>IF(C306="","",IFERROR(INDEX(Anuncios!$B$6:$B$65,MATCH(C306,Anuncios!$A$6:$A$65,0)),"(no está en Anuncios)"))</f>
        <v/>
      </c>
      <c r="E306" s="39" t="n"/>
      <c r="F306" s="40" t="n"/>
      <c r="G306" s="40" t="n"/>
      <c r="H306" s="40" t="n"/>
      <c r="I306" s="39" t="n"/>
      <c r="J306" s="13">
        <f>IF(N(F306)&gt;0,G306/F306,"")</f>
        <v/>
      </c>
      <c r="K306" s="10">
        <f>IF(N(G306)&gt;0,E306/G306,"")</f>
        <v/>
      </c>
      <c r="L306" s="10">
        <f>IF(N(H306)&gt;0,E306/H306,"")</f>
        <v/>
      </c>
      <c r="M306" s="11">
        <f>IF(N(E306)&gt;0,I306/E306,"")</f>
        <v/>
      </c>
      <c r="N306" s="10">
        <f>IF(AND(E306="",I306=""),"",N(I306)*(1-COM-COM_SHOP)-N(E306)*(1+IMP_META))</f>
        <v/>
      </c>
      <c r="O306" s="37" t="n"/>
    </row>
    <row r="307">
      <c r="A307" s="36" t="n"/>
      <c r="B307" s="37" t="n"/>
      <c r="C307" s="37" t="n"/>
      <c r="D307" s="38">
        <f>IF(C307="","",IFERROR(INDEX(Anuncios!$B$6:$B$65,MATCH(C307,Anuncios!$A$6:$A$65,0)),"(no está en Anuncios)"))</f>
        <v/>
      </c>
      <c r="E307" s="39" t="n"/>
      <c r="F307" s="40" t="n"/>
      <c r="G307" s="40" t="n"/>
      <c r="H307" s="40" t="n"/>
      <c r="I307" s="39" t="n"/>
      <c r="J307" s="13">
        <f>IF(N(F307)&gt;0,G307/F307,"")</f>
        <v/>
      </c>
      <c r="K307" s="10">
        <f>IF(N(G307)&gt;0,E307/G307,"")</f>
        <v/>
      </c>
      <c r="L307" s="10">
        <f>IF(N(H307)&gt;0,E307/H307,"")</f>
        <v/>
      </c>
      <c r="M307" s="11">
        <f>IF(N(E307)&gt;0,I307/E307,"")</f>
        <v/>
      </c>
      <c r="N307" s="10">
        <f>IF(AND(E307="",I307=""),"",N(I307)*(1-COM-COM_SHOP)-N(E307)*(1+IMP_META))</f>
        <v/>
      </c>
      <c r="O307" s="37" t="n"/>
    </row>
    <row r="308">
      <c r="A308" s="36" t="n"/>
      <c r="B308" s="37" t="n"/>
      <c r="C308" s="37" t="n"/>
      <c r="D308" s="38">
        <f>IF(C308="","",IFERROR(INDEX(Anuncios!$B$6:$B$65,MATCH(C308,Anuncios!$A$6:$A$65,0)),"(no está en Anuncios)"))</f>
        <v/>
      </c>
      <c r="E308" s="39" t="n"/>
      <c r="F308" s="40" t="n"/>
      <c r="G308" s="40" t="n"/>
      <c r="H308" s="40" t="n"/>
      <c r="I308" s="39" t="n"/>
      <c r="J308" s="13">
        <f>IF(N(F308)&gt;0,G308/F308,"")</f>
        <v/>
      </c>
      <c r="K308" s="10">
        <f>IF(N(G308)&gt;0,E308/G308,"")</f>
        <v/>
      </c>
      <c r="L308" s="10">
        <f>IF(N(H308)&gt;0,E308/H308,"")</f>
        <v/>
      </c>
      <c r="M308" s="11">
        <f>IF(N(E308)&gt;0,I308/E308,"")</f>
        <v/>
      </c>
      <c r="N308" s="10">
        <f>IF(AND(E308="",I308=""),"",N(I308)*(1-COM-COM_SHOP)-N(E308)*(1+IMP_META))</f>
        <v/>
      </c>
      <c r="O308" s="37" t="n"/>
    </row>
    <row r="309">
      <c r="A309" s="36" t="n"/>
      <c r="B309" s="37" t="n"/>
      <c r="C309" s="37" t="n"/>
      <c r="D309" s="38">
        <f>IF(C309="","",IFERROR(INDEX(Anuncios!$B$6:$B$65,MATCH(C309,Anuncios!$A$6:$A$65,0)),"(no está en Anuncios)"))</f>
        <v/>
      </c>
      <c r="E309" s="39" t="n"/>
      <c r="F309" s="40" t="n"/>
      <c r="G309" s="40" t="n"/>
      <c r="H309" s="40" t="n"/>
      <c r="I309" s="39" t="n"/>
      <c r="J309" s="13">
        <f>IF(N(F309)&gt;0,G309/F309,"")</f>
        <v/>
      </c>
      <c r="K309" s="10">
        <f>IF(N(G309)&gt;0,E309/G309,"")</f>
        <v/>
      </c>
      <c r="L309" s="10">
        <f>IF(N(H309)&gt;0,E309/H309,"")</f>
        <v/>
      </c>
      <c r="M309" s="11">
        <f>IF(N(E309)&gt;0,I309/E309,"")</f>
        <v/>
      </c>
      <c r="N309" s="10">
        <f>IF(AND(E309="",I309=""),"",N(I309)*(1-COM-COM_SHOP)-N(E309)*(1+IMP_META))</f>
        <v/>
      </c>
      <c r="O309" s="37" t="n"/>
    </row>
    <row r="310">
      <c r="A310" s="36" t="n"/>
      <c r="B310" s="37" t="n"/>
      <c r="C310" s="37" t="n"/>
      <c r="D310" s="38">
        <f>IF(C310="","",IFERROR(INDEX(Anuncios!$B$6:$B$65,MATCH(C310,Anuncios!$A$6:$A$65,0)),"(no está en Anuncios)"))</f>
        <v/>
      </c>
      <c r="E310" s="39" t="n"/>
      <c r="F310" s="40" t="n"/>
      <c r="G310" s="40" t="n"/>
      <c r="H310" s="40" t="n"/>
      <c r="I310" s="39" t="n"/>
      <c r="J310" s="13">
        <f>IF(N(F310)&gt;0,G310/F310,"")</f>
        <v/>
      </c>
      <c r="K310" s="10">
        <f>IF(N(G310)&gt;0,E310/G310,"")</f>
        <v/>
      </c>
      <c r="L310" s="10">
        <f>IF(N(H310)&gt;0,E310/H310,"")</f>
        <v/>
      </c>
      <c r="M310" s="11">
        <f>IF(N(E310)&gt;0,I310/E310,"")</f>
        <v/>
      </c>
      <c r="N310" s="10">
        <f>IF(AND(E310="",I310=""),"",N(I310)*(1-COM-COM_SHOP)-N(E310)*(1+IMP_META))</f>
        <v/>
      </c>
      <c r="O310" s="37" t="n"/>
    </row>
    <row r="311">
      <c r="A311" s="36" t="n"/>
      <c r="B311" s="37" t="n"/>
      <c r="C311" s="37" t="n"/>
      <c r="D311" s="38">
        <f>IF(C311="","",IFERROR(INDEX(Anuncios!$B$6:$B$65,MATCH(C311,Anuncios!$A$6:$A$65,0)),"(no está en Anuncios)"))</f>
        <v/>
      </c>
      <c r="E311" s="39" t="n"/>
      <c r="F311" s="40" t="n"/>
      <c r="G311" s="40" t="n"/>
      <c r="H311" s="40" t="n"/>
      <c r="I311" s="39" t="n"/>
      <c r="J311" s="13">
        <f>IF(N(F311)&gt;0,G311/F311,"")</f>
        <v/>
      </c>
      <c r="K311" s="10">
        <f>IF(N(G311)&gt;0,E311/G311,"")</f>
        <v/>
      </c>
      <c r="L311" s="10">
        <f>IF(N(H311)&gt;0,E311/H311,"")</f>
        <v/>
      </c>
      <c r="M311" s="11">
        <f>IF(N(E311)&gt;0,I311/E311,"")</f>
        <v/>
      </c>
      <c r="N311" s="10">
        <f>IF(AND(E311="",I311=""),"",N(I311)*(1-COM-COM_SHOP)-N(E311)*(1+IMP_META))</f>
        <v/>
      </c>
      <c r="O311" s="37" t="n"/>
    </row>
    <row r="312">
      <c r="A312" s="36" t="n"/>
      <c r="B312" s="37" t="n"/>
      <c r="C312" s="37" t="n"/>
      <c r="D312" s="38">
        <f>IF(C312="","",IFERROR(INDEX(Anuncios!$B$6:$B$65,MATCH(C312,Anuncios!$A$6:$A$65,0)),"(no está en Anuncios)"))</f>
        <v/>
      </c>
      <c r="E312" s="39" t="n"/>
      <c r="F312" s="40" t="n"/>
      <c r="G312" s="40" t="n"/>
      <c r="H312" s="40" t="n"/>
      <c r="I312" s="39" t="n"/>
      <c r="J312" s="13">
        <f>IF(N(F312)&gt;0,G312/F312,"")</f>
        <v/>
      </c>
      <c r="K312" s="10">
        <f>IF(N(G312)&gt;0,E312/G312,"")</f>
        <v/>
      </c>
      <c r="L312" s="10">
        <f>IF(N(H312)&gt;0,E312/H312,"")</f>
        <v/>
      </c>
      <c r="M312" s="11">
        <f>IF(N(E312)&gt;0,I312/E312,"")</f>
        <v/>
      </c>
      <c r="N312" s="10">
        <f>IF(AND(E312="",I312=""),"",N(I312)*(1-COM-COM_SHOP)-N(E312)*(1+IMP_META))</f>
        <v/>
      </c>
      <c r="O312" s="37" t="n"/>
    </row>
    <row r="313">
      <c r="A313" s="36" t="n"/>
      <c r="B313" s="37" t="n"/>
      <c r="C313" s="37" t="n"/>
      <c r="D313" s="38">
        <f>IF(C313="","",IFERROR(INDEX(Anuncios!$B$6:$B$65,MATCH(C313,Anuncios!$A$6:$A$65,0)),"(no está en Anuncios)"))</f>
        <v/>
      </c>
      <c r="E313" s="39" t="n"/>
      <c r="F313" s="40" t="n"/>
      <c r="G313" s="40" t="n"/>
      <c r="H313" s="40" t="n"/>
      <c r="I313" s="39" t="n"/>
      <c r="J313" s="13">
        <f>IF(N(F313)&gt;0,G313/F313,"")</f>
        <v/>
      </c>
      <c r="K313" s="10">
        <f>IF(N(G313)&gt;0,E313/G313,"")</f>
        <v/>
      </c>
      <c r="L313" s="10">
        <f>IF(N(H313)&gt;0,E313/H313,"")</f>
        <v/>
      </c>
      <c r="M313" s="11">
        <f>IF(N(E313)&gt;0,I313/E313,"")</f>
        <v/>
      </c>
      <c r="N313" s="10">
        <f>IF(AND(E313="",I313=""),"",N(I313)*(1-COM-COM_SHOP)-N(E313)*(1+IMP_META))</f>
        <v/>
      </c>
      <c r="O313" s="37" t="n"/>
    </row>
    <row r="314">
      <c r="A314" s="36" t="n"/>
      <c r="B314" s="37" t="n"/>
      <c r="C314" s="37" t="n"/>
      <c r="D314" s="38">
        <f>IF(C314="","",IFERROR(INDEX(Anuncios!$B$6:$B$65,MATCH(C314,Anuncios!$A$6:$A$65,0)),"(no está en Anuncios)"))</f>
        <v/>
      </c>
      <c r="E314" s="39" t="n"/>
      <c r="F314" s="40" t="n"/>
      <c r="G314" s="40" t="n"/>
      <c r="H314" s="40" t="n"/>
      <c r="I314" s="39" t="n"/>
      <c r="J314" s="13">
        <f>IF(N(F314)&gt;0,G314/F314,"")</f>
        <v/>
      </c>
      <c r="K314" s="10">
        <f>IF(N(G314)&gt;0,E314/G314,"")</f>
        <v/>
      </c>
      <c r="L314" s="10">
        <f>IF(N(H314)&gt;0,E314/H314,"")</f>
        <v/>
      </c>
      <c r="M314" s="11">
        <f>IF(N(E314)&gt;0,I314/E314,"")</f>
        <v/>
      </c>
      <c r="N314" s="10">
        <f>IF(AND(E314="",I314=""),"",N(I314)*(1-COM-COM_SHOP)-N(E314)*(1+IMP_META))</f>
        <v/>
      </c>
      <c r="O314" s="37" t="n"/>
    </row>
    <row r="315">
      <c r="A315" s="36" t="n"/>
      <c r="B315" s="37" t="n"/>
      <c r="C315" s="37" t="n"/>
      <c r="D315" s="38">
        <f>IF(C315="","",IFERROR(INDEX(Anuncios!$B$6:$B$65,MATCH(C315,Anuncios!$A$6:$A$65,0)),"(no está en Anuncios)"))</f>
        <v/>
      </c>
      <c r="E315" s="39" t="n"/>
      <c r="F315" s="40" t="n"/>
      <c r="G315" s="40" t="n"/>
      <c r="H315" s="40" t="n"/>
      <c r="I315" s="39" t="n"/>
      <c r="J315" s="13">
        <f>IF(N(F315)&gt;0,G315/F315,"")</f>
        <v/>
      </c>
      <c r="K315" s="10">
        <f>IF(N(G315)&gt;0,E315/G315,"")</f>
        <v/>
      </c>
      <c r="L315" s="10">
        <f>IF(N(H315)&gt;0,E315/H315,"")</f>
        <v/>
      </c>
      <c r="M315" s="11">
        <f>IF(N(E315)&gt;0,I315/E315,"")</f>
        <v/>
      </c>
      <c r="N315" s="10">
        <f>IF(AND(E315="",I315=""),"",N(I315)*(1-COM-COM_SHOP)-N(E315)*(1+IMP_META))</f>
        <v/>
      </c>
      <c r="O315" s="37" t="n"/>
    </row>
    <row r="316">
      <c r="A316" s="36" t="n"/>
      <c r="B316" s="37" t="n"/>
      <c r="C316" s="37" t="n"/>
      <c r="D316" s="38">
        <f>IF(C316="","",IFERROR(INDEX(Anuncios!$B$6:$B$65,MATCH(C316,Anuncios!$A$6:$A$65,0)),"(no está en Anuncios)"))</f>
        <v/>
      </c>
      <c r="E316" s="39" t="n"/>
      <c r="F316" s="40" t="n"/>
      <c r="G316" s="40" t="n"/>
      <c r="H316" s="40" t="n"/>
      <c r="I316" s="39" t="n"/>
      <c r="J316" s="13">
        <f>IF(N(F316)&gt;0,G316/F316,"")</f>
        <v/>
      </c>
      <c r="K316" s="10">
        <f>IF(N(G316)&gt;0,E316/G316,"")</f>
        <v/>
      </c>
      <c r="L316" s="10">
        <f>IF(N(H316)&gt;0,E316/H316,"")</f>
        <v/>
      </c>
      <c r="M316" s="11">
        <f>IF(N(E316)&gt;0,I316/E316,"")</f>
        <v/>
      </c>
      <c r="N316" s="10">
        <f>IF(AND(E316="",I316=""),"",N(I316)*(1-COM-COM_SHOP)-N(E316)*(1+IMP_META))</f>
        <v/>
      </c>
      <c r="O316" s="37" t="n"/>
    </row>
    <row r="317">
      <c r="A317" s="36" t="n"/>
      <c r="B317" s="37" t="n"/>
      <c r="C317" s="37" t="n"/>
      <c r="D317" s="38">
        <f>IF(C317="","",IFERROR(INDEX(Anuncios!$B$6:$B$65,MATCH(C317,Anuncios!$A$6:$A$65,0)),"(no está en Anuncios)"))</f>
        <v/>
      </c>
      <c r="E317" s="39" t="n"/>
      <c r="F317" s="40" t="n"/>
      <c r="G317" s="40" t="n"/>
      <c r="H317" s="40" t="n"/>
      <c r="I317" s="39" t="n"/>
      <c r="J317" s="13">
        <f>IF(N(F317)&gt;0,G317/F317,"")</f>
        <v/>
      </c>
      <c r="K317" s="10">
        <f>IF(N(G317)&gt;0,E317/G317,"")</f>
        <v/>
      </c>
      <c r="L317" s="10">
        <f>IF(N(H317)&gt;0,E317/H317,"")</f>
        <v/>
      </c>
      <c r="M317" s="11">
        <f>IF(N(E317)&gt;0,I317/E317,"")</f>
        <v/>
      </c>
      <c r="N317" s="10">
        <f>IF(AND(E317="",I317=""),"",N(I317)*(1-COM-COM_SHOP)-N(E317)*(1+IMP_META))</f>
        <v/>
      </c>
      <c r="O317" s="37" t="n"/>
    </row>
    <row r="318">
      <c r="A318" s="36" t="n"/>
      <c r="B318" s="37" t="n"/>
      <c r="C318" s="37" t="n"/>
      <c r="D318" s="38">
        <f>IF(C318="","",IFERROR(INDEX(Anuncios!$B$6:$B$65,MATCH(C318,Anuncios!$A$6:$A$65,0)),"(no está en Anuncios)"))</f>
        <v/>
      </c>
      <c r="E318" s="39" t="n"/>
      <c r="F318" s="40" t="n"/>
      <c r="G318" s="40" t="n"/>
      <c r="H318" s="40" t="n"/>
      <c r="I318" s="39" t="n"/>
      <c r="J318" s="13">
        <f>IF(N(F318)&gt;0,G318/F318,"")</f>
        <v/>
      </c>
      <c r="K318" s="10">
        <f>IF(N(G318)&gt;0,E318/G318,"")</f>
        <v/>
      </c>
      <c r="L318" s="10">
        <f>IF(N(H318)&gt;0,E318/H318,"")</f>
        <v/>
      </c>
      <c r="M318" s="11">
        <f>IF(N(E318)&gt;0,I318/E318,"")</f>
        <v/>
      </c>
      <c r="N318" s="10">
        <f>IF(AND(E318="",I318=""),"",N(I318)*(1-COM-COM_SHOP)-N(E318)*(1+IMP_META))</f>
        <v/>
      </c>
      <c r="O318" s="37" t="n"/>
    </row>
    <row r="319">
      <c r="A319" s="36" t="n"/>
      <c r="B319" s="37" t="n"/>
      <c r="C319" s="37" t="n"/>
      <c r="D319" s="38">
        <f>IF(C319="","",IFERROR(INDEX(Anuncios!$B$6:$B$65,MATCH(C319,Anuncios!$A$6:$A$65,0)),"(no está en Anuncios)"))</f>
        <v/>
      </c>
      <c r="E319" s="39" t="n"/>
      <c r="F319" s="40" t="n"/>
      <c r="G319" s="40" t="n"/>
      <c r="H319" s="40" t="n"/>
      <c r="I319" s="39" t="n"/>
      <c r="J319" s="13">
        <f>IF(N(F319)&gt;0,G319/F319,"")</f>
        <v/>
      </c>
      <c r="K319" s="10">
        <f>IF(N(G319)&gt;0,E319/G319,"")</f>
        <v/>
      </c>
      <c r="L319" s="10">
        <f>IF(N(H319)&gt;0,E319/H319,"")</f>
        <v/>
      </c>
      <c r="M319" s="11">
        <f>IF(N(E319)&gt;0,I319/E319,"")</f>
        <v/>
      </c>
      <c r="N319" s="10">
        <f>IF(AND(E319="",I319=""),"",N(I319)*(1-COM-COM_SHOP)-N(E319)*(1+IMP_META))</f>
        <v/>
      </c>
      <c r="O319" s="37" t="n"/>
    </row>
    <row r="320">
      <c r="A320" s="36" t="n"/>
      <c r="B320" s="37" t="n"/>
      <c r="C320" s="37" t="n"/>
      <c r="D320" s="38">
        <f>IF(C320="","",IFERROR(INDEX(Anuncios!$B$6:$B$65,MATCH(C320,Anuncios!$A$6:$A$65,0)),"(no está en Anuncios)"))</f>
        <v/>
      </c>
      <c r="E320" s="39" t="n"/>
      <c r="F320" s="40" t="n"/>
      <c r="G320" s="40" t="n"/>
      <c r="H320" s="40" t="n"/>
      <c r="I320" s="39" t="n"/>
      <c r="J320" s="13">
        <f>IF(N(F320)&gt;0,G320/F320,"")</f>
        <v/>
      </c>
      <c r="K320" s="10">
        <f>IF(N(G320)&gt;0,E320/G320,"")</f>
        <v/>
      </c>
      <c r="L320" s="10">
        <f>IF(N(H320)&gt;0,E320/H320,"")</f>
        <v/>
      </c>
      <c r="M320" s="11">
        <f>IF(N(E320)&gt;0,I320/E320,"")</f>
        <v/>
      </c>
      <c r="N320" s="10">
        <f>IF(AND(E320="",I320=""),"",N(I320)*(1-COM-COM_SHOP)-N(E320)*(1+IMP_META))</f>
        <v/>
      </c>
      <c r="O320" s="37" t="n"/>
    </row>
    <row r="321">
      <c r="A321" s="36" t="n"/>
      <c r="B321" s="37" t="n"/>
      <c r="C321" s="37" t="n"/>
      <c r="D321" s="38">
        <f>IF(C321="","",IFERROR(INDEX(Anuncios!$B$6:$B$65,MATCH(C321,Anuncios!$A$6:$A$65,0)),"(no está en Anuncios)"))</f>
        <v/>
      </c>
      <c r="E321" s="39" t="n"/>
      <c r="F321" s="40" t="n"/>
      <c r="G321" s="40" t="n"/>
      <c r="H321" s="40" t="n"/>
      <c r="I321" s="39" t="n"/>
      <c r="J321" s="13">
        <f>IF(N(F321)&gt;0,G321/F321,"")</f>
        <v/>
      </c>
      <c r="K321" s="10">
        <f>IF(N(G321)&gt;0,E321/G321,"")</f>
        <v/>
      </c>
      <c r="L321" s="10">
        <f>IF(N(H321)&gt;0,E321/H321,"")</f>
        <v/>
      </c>
      <c r="M321" s="11">
        <f>IF(N(E321)&gt;0,I321/E321,"")</f>
        <v/>
      </c>
      <c r="N321" s="10">
        <f>IF(AND(E321="",I321=""),"",N(I321)*(1-COM-COM_SHOP)-N(E321)*(1+IMP_META))</f>
        <v/>
      </c>
      <c r="O321" s="37" t="n"/>
    </row>
    <row r="322">
      <c r="A322" s="36" t="n"/>
      <c r="B322" s="37" t="n"/>
      <c r="C322" s="37" t="n"/>
      <c r="D322" s="38">
        <f>IF(C322="","",IFERROR(INDEX(Anuncios!$B$6:$B$65,MATCH(C322,Anuncios!$A$6:$A$65,0)),"(no está en Anuncios)"))</f>
        <v/>
      </c>
      <c r="E322" s="39" t="n"/>
      <c r="F322" s="40" t="n"/>
      <c r="G322" s="40" t="n"/>
      <c r="H322" s="40" t="n"/>
      <c r="I322" s="39" t="n"/>
      <c r="J322" s="13">
        <f>IF(N(F322)&gt;0,G322/F322,"")</f>
        <v/>
      </c>
      <c r="K322" s="10">
        <f>IF(N(G322)&gt;0,E322/G322,"")</f>
        <v/>
      </c>
      <c r="L322" s="10">
        <f>IF(N(H322)&gt;0,E322/H322,"")</f>
        <v/>
      </c>
      <c r="M322" s="11">
        <f>IF(N(E322)&gt;0,I322/E322,"")</f>
        <v/>
      </c>
      <c r="N322" s="10">
        <f>IF(AND(E322="",I322=""),"",N(I322)*(1-COM-COM_SHOP)-N(E322)*(1+IMP_META))</f>
        <v/>
      </c>
      <c r="O322" s="37" t="n"/>
    </row>
    <row r="323">
      <c r="A323" s="36" t="n"/>
      <c r="B323" s="37" t="n"/>
      <c r="C323" s="37" t="n"/>
      <c r="D323" s="38">
        <f>IF(C323="","",IFERROR(INDEX(Anuncios!$B$6:$B$65,MATCH(C323,Anuncios!$A$6:$A$65,0)),"(no está en Anuncios)"))</f>
        <v/>
      </c>
      <c r="E323" s="39" t="n"/>
      <c r="F323" s="40" t="n"/>
      <c r="G323" s="40" t="n"/>
      <c r="H323" s="40" t="n"/>
      <c r="I323" s="39" t="n"/>
      <c r="J323" s="13">
        <f>IF(N(F323)&gt;0,G323/F323,"")</f>
        <v/>
      </c>
      <c r="K323" s="10">
        <f>IF(N(G323)&gt;0,E323/G323,"")</f>
        <v/>
      </c>
      <c r="L323" s="10">
        <f>IF(N(H323)&gt;0,E323/H323,"")</f>
        <v/>
      </c>
      <c r="M323" s="11">
        <f>IF(N(E323)&gt;0,I323/E323,"")</f>
        <v/>
      </c>
      <c r="N323" s="10">
        <f>IF(AND(E323="",I323=""),"",N(I323)*(1-COM-COM_SHOP)-N(E323)*(1+IMP_META))</f>
        <v/>
      </c>
      <c r="O323" s="37" t="n"/>
    </row>
    <row r="324">
      <c r="A324" s="36" t="n"/>
      <c r="B324" s="37" t="n"/>
      <c r="C324" s="37" t="n"/>
      <c r="D324" s="38">
        <f>IF(C324="","",IFERROR(INDEX(Anuncios!$B$6:$B$65,MATCH(C324,Anuncios!$A$6:$A$65,0)),"(no está en Anuncios)"))</f>
        <v/>
      </c>
      <c r="E324" s="39" t="n"/>
      <c r="F324" s="40" t="n"/>
      <c r="G324" s="40" t="n"/>
      <c r="H324" s="40" t="n"/>
      <c r="I324" s="39" t="n"/>
      <c r="J324" s="13">
        <f>IF(N(F324)&gt;0,G324/F324,"")</f>
        <v/>
      </c>
      <c r="K324" s="10">
        <f>IF(N(G324)&gt;0,E324/G324,"")</f>
        <v/>
      </c>
      <c r="L324" s="10">
        <f>IF(N(H324)&gt;0,E324/H324,"")</f>
        <v/>
      </c>
      <c r="M324" s="11">
        <f>IF(N(E324)&gt;0,I324/E324,"")</f>
        <v/>
      </c>
      <c r="N324" s="10">
        <f>IF(AND(E324="",I324=""),"",N(I324)*(1-COM-COM_SHOP)-N(E324)*(1+IMP_META))</f>
        <v/>
      </c>
      <c r="O324" s="37" t="n"/>
    </row>
    <row r="325">
      <c r="A325" s="36" t="n"/>
      <c r="B325" s="37" t="n"/>
      <c r="C325" s="37" t="n"/>
      <c r="D325" s="38">
        <f>IF(C325="","",IFERROR(INDEX(Anuncios!$B$6:$B$65,MATCH(C325,Anuncios!$A$6:$A$65,0)),"(no está en Anuncios)"))</f>
        <v/>
      </c>
      <c r="E325" s="39" t="n"/>
      <c r="F325" s="40" t="n"/>
      <c r="G325" s="40" t="n"/>
      <c r="H325" s="40" t="n"/>
      <c r="I325" s="39" t="n"/>
      <c r="J325" s="13">
        <f>IF(N(F325)&gt;0,G325/F325,"")</f>
        <v/>
      </c>
      <c r="K325" s="10">
        <f>IF(N(G325)&gt;0,E325/G325,"")</f>
        <v/>
      </c>
      <c r="L325" s="10">
        <f>IF(N(H325)&gt;0,E325/H325,"")</f>
        <v/>
      </c>
      <c r="M325" s="11">
        <f>IF(N(E325)&gt;0,I325/E325,"")</f>
        <v/>
      </c>
      <c r="N325" s="10">
        <f>IF(AND(E325="",I325=""),"",N(I325)*(1-COM-COM_SHOP)-N(E325)*(1+IMP_META))</f>
        <v/>
      </c>
      <c r="O325" s="37" t="n"/>
    </row>
    <row r="326">
      <c r="A326" s="36" t="n"/>
      <c r="B326" s="37" t="n"/>
      <c r="C326" s="37" t="n"/>
      <c r="D326" s="38">
        <f>IF(C326="","",IFERROR(INDEX(Anuncios!$B$6:$B$65,MATCH(C326,Anuncios!$A$6:$A$65,0)),"(no está en Anuncios)"))</f>
        <v/>
      </c>
      <c r="E326" s="39" t="n"/>
      <c r="F326" s="40" t="n"/>
      <c r="G326" s="40" t="n"/>
      <c r="H326" s="40" t="n"/>
      <c r="I326" s="39" t="n"/>
      <c r="J326" s="13">
        <f>IF(N(F326)&gt;0,G326/F326,"")</f>
        <v/>
      </c>
      <c r="K326" s="10">
        <f>IF(N(G326)&gt;0,E326/G326,"")</f>
        <v/>
      </c>
      <c r="L326" s="10">
        <f>IF(N(H326)&gt;0,E326/H326,"")</f>
        <v/>
      </c>
      <c r="M326" s="11">
        <f>IF(N(E326)&gt;0,I326/E326,"")</f>
        <v/>
      </c>
      <c r="N326" s="10">
        <f>IF(AND(E326="",I326=""),"",N(I326)*(1-COM-COM_SHOP)-N(E326)*(1+IMP_META))</f>
        <v/>
      </c>
      <c r="O326" s="37" t="n"/>
    </row>
    <row r="327">
      <c r="A327" s="36" t="n"/>
      <c r="B327" s="37" t="n"/>
      <c r="C327" s="37" t="n"/>
      <c r="D327" s="38">
        <f>IF(C327="","",IFERROR(INDEX(Anuncios!$B$6:$B$65,MATCH(C327,Anuncios!$A$6:$A$65,0)),"(no está en Anuncios)"))</f>
        <v/>
      </c>
      <c r="E327" s="39" t="n"/>
      <c r="F327" s="40" t="n"/>
      <c r="G327" s="40" t="n"/>
      <c r="H327" s="40" t="n"/>
      <c r="I327" s="39" t="n"/>
      <c r="J327" s="13">
        <f>IF(N(F327)&gt;0,G327/F327,"")</f>
        <v/>
      </c>
      <c r="K327" s="10">
        <f>IF(N(G327)&gt;0,E327/G327,"")</f>
        <v/>
      </c>
      <c r="L327" s="10">
        <f>IF(N(H327)&gt;0,E327/H327,"")</f>
        <v/>
      </c>
      <c r="M327" s="11">
        <f>IF(N(E327)&gt;0,I327/E327,"")</f>
        <v/>
      </c>
      <c r="N327" s="10">
        <f>IF(AND(E327="",I327=""),"",N(I327)*(1-COM-COM_SHOP)-N(E327)*(1+IMP_META))</f>
        <v/>
      </c>
      <c r="O327" s="37" t="n"/>
    </row>
    <row r="328">
      <c r="A328" s="36" t="n"/>
      <c r="B328" s="37" t="n"/>
      <c r="C328" s="37" t="n"/>
      <c r="D328" s="38">
        <f>IF(C328="","",IFERROR(INDEX(Anuncios!$B$6:$B$65,MATCH(C328,Anuncios!$A$6:$A$65,0)),"(no está en Anuncios)"))</f>
        <v/>
      </c>
      <c r="E328" s="39" t="n"/>
      <c r="F328" s="40" t="n"/>
      <c r="G328" s="40" t="n"/>
      <c r="H328" s="40" t="n"/>
      <c r="I328" s="39" t="n"/>
      <c r="J328" s="13">
        <f>IF(N(F328)&gt;0,G328/F328,"")</f>
        <v/>
      </c>
      <c r="K328" s="10">
        <f>IF(N(G328)&gt;0,E328/G328,"")</f>
        <v/>
      </c>
      <c r="L328" s="10">
        <f>IF(N(H328)&gt;0,E328/H328,"")</f>
        <v/>
      </c>
      <c r="M328" s="11">
        <f>IF(N(E328)&gt;0,I328/E328,"")</f>
        <v/>
      </c>
      <c r="N328" s="10">
        <f>IF(AND(E328="",I328=""),"",N(I328)*(1-COM-COM_SHOP)-N(E328)*(1+IMP_META))</f>
        <v/>
      </c>
      <c r="O328" s="37" t="n"/>
    </row>
    <row r="329">
      <c r="A329" s="36" t="n"/>
      <c r="B329" s="37" t="n"/>
      <c r="C329" s="37" t="n"/>
      <c r="D329" s="38">
        <f>IF(C329="","",IFERROR(INDEX(Anuncios!$B$6:$B$65,MATCH(C329,Anuncios!$A$6:$A$65,0)),"(no está en Anuncios)"))</f>
        <v/>
      </c>
      <c r="E329" s="39" t="n"/>
      <c r="F329" s="40" t="n"/>
      <c r="G329" s="40" t="n"/>
      <c r="H329" s="40" t="n"/>
      <c r="I329" s="39" t="n"/>
      <c r="J329" s="13">
        <f>IF(N(F329)&gt;0,G329/F329,"")</f>
        <v/>
      </c>
      <c r="K329" s="10">
        <f>IF(N(G329)&gt;0,E329/G329,"")</f>
        <v/>
      </c>
      <c r="L329" s="10">
        <f>IF(N(H329)&gt;0,E329/H329,"")</f>
        <v/>
      </c>
      <c r="M329" s="11">
        <f>IF(N(E329)&gt;0,I329/E329,"")</f>
        <v/>
      </c>
      <c r="N329" s="10">
        <f>IF(AND(E329="",I329=""),"",N(I329)*(1-COM-COM_SHOP)-N(E329)*(1+IMP_META))</f>
        <v/>
      </c>
      <c r="O329" s="37" t="n"/>
    </row>
    <row r="330">
      <c r="A330" s="36" t="n"/>
      <c r="B330" s="37" t="n"/>
      <c r="C330" s="37" t="n"/>
      <c r="D330" s="38">
        <f>IF(C330="","",IFERROR(INDEX(Anuncios!$B$6:$B$65,MATCH(C330,Anuncios!$A$6:$A$65,0)),"(no está en Anuncios)"))</f>
        <v/>
      </c>
      <c r="E330" s="39" t="n"/>
      <c r="F330" s="40" t="n"/>
      <c r="G330" s="40" t="n"/>
      <c r="H330" s="40" t="n"/>
      <c r="I330" s="39" t="n"/>
      <c r="J330" s="13">
        <f>IF(N(F330)&gt;0,G330/F330,"")</f>
        <v/>
      </c>
      <c r="K330" s="10">
        <f>IF(N(G330)&gt;0,E330/G330,"")</f>
        <v/>
      </c>
      <c r="L330" s="10">
        <f>IF(N(H330)&gt;0,E330/H330,"")</f>
        <v/>
      </c>
      <c r="M330" s="11">
        <f>IF(N(E330)&gt;0,I330/E330,"")</f>
        <v/>
      </c>
      <c r="N330" s="10">
        <f>IF(AND(E330="",I330=""),"",N(I330)*(1-COM-COM_SHOP)-N(E330)*(1+IMP_META))</f>
        <v/>
      </c>
      <c r="O330" s="37" t="n"/>
    </row>
    <row r="331">
      <c r="A331" s="36" t="n"/>
      <c r="B331" s="37" t="n"/>
      <c r="C331" s="37" t="n"/>
      <c r="D331" s="38">
        <f>IF(C331="","",IFERROR(INDEX(Anuncios!$B$6:$B$65,MATCH(C331,Anuncios!$A$6:$A$65,0)),"(no está en Anuncios)"))</f>
        <v/>
      </c>
      <c r="E331" s="39" t="n"/>
      <c r="F331" s="40" t="n"/>
      <c r="G331" s="40" t="n"/>
      <c r="H331" s="40" t="n"/>
      <c r="I331" s="39" t="n"/>
      <c r="J331" s="13">
        <f>IF(N(F331)&gt;0,G331/F331,"")</f>
        <v/>
      </c>
      <c r="K331" s="10">
        <f>IF(N(G331)&gt;0,E331/G331,"")</f>
        <v/>
      </c>
      <c r="L331" s="10">
        <f>IF(N(H331)&gt;0,E331/H331,"")</f>
        <v/>
      </c>
      <c r="M331" s="11">
        <f>IF(N(E331)&gt;0,I331/E331,"")</f>
        <v/>
      </c>
      <c r="N331" s="10">
        <f>IF(AND(E331="",I331=""),"",N(I331)*(1-COM-COM_SHOP)-N(E331)*(1+IMP_META))</f>
        <v/>
      </c>
      <c r="O331" s="37" t="n"/>
    </row>
    <row r="332">
      <c r="A332" s="36" t="n"/>
      <c r="B332" s="37" t="n"/>
      <c r="C332" s="37" t="n"/>
      <c r="D332" s="38">
        <f>IF(C332="","",IFERROR(INDEX(Anuncios!$B$6:$B$65,MATCH(C332,Anuncios!$A$6:$A$65,0)),"(no está en Anuncios)"))</f>
        <v/>
      </c>
      <c r="E332" s="39" t="n"/>
      <c r="F332" s="40" t="n"/>
      <c r="G332" s="40" t="n"/>
      <c r="H332" s="40" t="n"/>
      <c r="I332" s="39" t="n"/>
      <c r="J332" s="13">
        <f>IF(N(F332)&gt;0,G332/F332,"")</f>
        <v/>
      </c>
      <c r="K332" s="10">
        <f>IF(N(G332)&gt;0,E332/G332,"")</f>
        <v/>
      </c>
      <c r="L332" s="10">
        <f>IF(N(H332)&gt;0,E332/H332,"")</f>
        <v/>
      </c>
      <c r="M332" s="11">
        <f>IF(N(E332)&gt;0,I332/E332,"")</f>
        <v/>
      </c>
      <c r="N332" s="10">
        <f>IF(AND(E332="",I332=""),"",N(I332)*(1-COM-COM_SHOP)-N(E332)*(1+IMP_META))</f>
        <v/>
      </c>
      <c r="O332" s="37" t="n"/>
    </row>
    <row r="333">
      <c r="A333" s="36" t="n"/>
      <c r="B333" s="37" t="n"/>
      <c r="C333" s="37" t="n"/>
      <c r="D333" s="38">
        <f>IF(C333="","",IFERROR(INDEX(Anuncios!$B$6:$B$65,MATCH(C333,Anuncios!$A$6:$A$65,0)),"(no está en Anuncios)"))</f>
        <v/>
      </c>
      <c r="E333" s="39" t="n"/>
      <c r="F333" s="40" t="n"/>
      <c r="G333" s="40" t="n"/>
      <c r="H333" s="40" t="n"/>
      <c r="I333" s="39" t="n"/>
      <c r="J333" s="13">
        <f>IF(N(F333)&gt;0,G333/F333,"")</f>
        <v/>
      </c>
      <c r="K333" s="10">
        <f>IF(N(G333)&gt;0,E333/G333,"")</f>
        <v/>
      </c>
      <c r="L333" s="10">
        <f>IF(N(H333)&gt;0,E333/H333,"")</f>
        <v/>
      </c>
      <c r="M333" s="11">
        <f>IF(N(E333)&gt;0,I333/E333,"")</f>
        <v/>
      </c>
      <c r="N333" s="10">
        <f>IF(AND(E333="",I333=""),"",N(I333)*(1-COM-COM_SHOP)-N(E333)*(1+IMP_META))</f>
        <v/>
      </c>
      <c r="O333" s="37" t="n"/>
    </row>
    <row r="334">
      <c r="A334" s="36" t="n"/>
      <c r="B334" s="37" t="n"/>
      <c r="C334" s="37" t="n"/>
      <c r="D334" s="38">
        <f>IF(C334="","",IFERROR(INDEX(Anuncios!$B$6:$B$65,MATCH(C334,Anuncios!$A$6:$A$65,0)),"(no está en Anuncios)"))</f>
        <v/>
      </c>
      <c r="E334" s="39" t="n"/>
      <c r="F334" s="40" t="n"/>
      <c r="G334" s="40" t="n"/>
      <c r="H334" s="40" t="n"/>
      <c r="I334" s="39" t="n"/>
      <c r="J334" s="13">
        <f>IF(N(F334)&gt;0,G334/F334,"")</f>
        <v/>
      </c>
      <c r="K334" s="10">
        <f>IF(N(G334)&gt;0,E334/G334,"")</f>
        <v/>
      </c>
      <c r="L334" s="10">
        <f>IF(N(H334)&gt;0,E334/H334,"")</f>
        <v/>
      </c>
      <c r="M334" s="11">
        <f>IF(N(E334)&gt;0,I334/E334,"")</f>
        <v/>
      </c>
      <c r="N334" s="10">
        <f>IF(AND(E334="",I334=""),"",N(I334)*(1-COM-COM_SHOP)-N(E334)*(1+IMP_META))</f>
        <v/>
      </c>
      <c r="O334" s="37" t="n"/>
    </row>
    <row r="335">
      <c r="A335" s="36" t="n"/>
      <c r="B335" s="37" t="n"/>
      <c r="C335" s="37" t="n"/>
      <c r="D335" s="38">
        <f>IF(C335="","",IFERROR(INDEX(Anuncios!$B$6:$B$65,MATCH(C335,Anuncios!$A$6:$A$65,0)),"(no está en Anuncios)"))</f>
        <v/>
      </c>
      <c r="E335" s="39" t="n"/>
      <c r="F335" s="40" t="n"/>
      <c r="G335" s="40" t="n"/>
      <c r="H335" s="40" t="n"/>
      <c r="I335" s="39" t="n"/>
      <c r="J335" s="13">
        <f>IF(N(F335)&gt;0,G335/F335,"")</f>
        <v/>
      </c>
      <c r="K335" s="10">
        <f>IF(N(G335)&gt;0,E335/G335,"")</f>
        <v/>
      </c>
      <c r="L335" s="10">
        <f>IF(N(H335)&gt;0,E335/H335,"")</f>
        <v/>
      </c>
      <c r="M335" s="11">
        <f>IF(N(E335)&gt;0,I335/E335,"")</f>
        <v/>
      </c>
      <c r="N335" s="10">
        <f>IF(AND(E335="",I335=""),"",N(I335)*(1-COM-COM_SHOP)-N(E335)*(1+IMP_META))</f>
        <v/>
      </c>
      <c r="O335" s="37" t="n"/>
    </row>
    <row r="336">
      <c r="A336" s="36" t="n"/>
      <c r="B336" s="37" t="n"/>
      <c r="C336" s="37" t="n"/>
      <c r="D336" s="38">
        <f>IF(C336="","",IFERROR(INDEX(Anuncios!$B$6:$B$65,MATCH(C336,Anuncios!$A$6:$A$65,0)),"(no está en Anuncios)"))</f>
        <v/>
      </c>
      <c r="E336" s="39" t="n"/>
      <c r="F336" s="40" t="n"/>
      <c r="G336" s="40" t="n"/>
      <c r="H336" s="40" t="n"/>
      <c r="I336" s="39" t="n"/>
      <c r="J336" s="13">
        <f>IF(N(F336)&gt;0,G336/F336,"")</f>
        <v/>
      </c>
      <c r="K336" s="10">
        <f>IF(N(G336)&gt;0,E336/G336,"")</f>
        <v/>
      </c>
      <c r="L336" s="10">
        <f>IF(N(H336)&gt;0,E336/H336,"")</f>
        <v/>
      </c>
      <c r="M336" s="11">
        <f>IF(N(E336)&gt;0,I336/E336,"")</f>
        <v/>
      </c>
      <c r="N336" s="10">
        <f>IF(AND(E336="",I336=""),"",N(I336)*(1-COM-COM_SHOP)-N(E336)*(1+IMP_META))</f>
        <v/>
      </c>
      <c r="O336" s="37" t="n"/>
    </row>
    <row r="337">
      <c r="A337" s="36" t="n"/>
      <c r="B337" s="37" t="n"/>
      <c r="C337" s="37" t="n"/>
      <c r="D337" s="38">
        <f>IF(C337="","",IFERROR(INDEX(Anuncios!$B$6:$B$65,MATCH(C337,Anuncios!$A$6:$A$65,0)),"(no está en Anuncios)"))</f>
        <v/>
      </c>
      <c r="E337" s="39" t="n"/>
      <c r="F337" s="40" t="n"/>
      <c r="G337" s="40" t="n"/>
      <c r="H337" s="40" t="n"/>
      <c r="I337" s="39" t="n"/>
      <c r="J337" s="13">
        <f>IF(N(F337)&gt;0,G337/F337,"")</f>
        <v/>
      </c>
      <c r="K337" s="10">
        <f>IF(N(G337)&gt;0,E337/G337,"")</f>
        <v/>
      </c>
      <c r="L337" s="10">
        <f>IF(N(H337)&gt;0,E337/H337,"")</f>
        <v/>
      </c>
      <c r="M337" s="11">
        <f>IF(N(E337)&gt;0,I337/E337,"")</f>
        <v/>
      </c>
      <c r="N337" s="10">
        <f>IF(AND(E337="",I337=""),"",N(I337)*(1-COM-COM_SHOP)-N(E337)*(1+IMP_META))</f>
        <v/>
      </c>
      <c r="O337" s="37" t="n"/>
    </row>
    <row r="338">
      <c r="A338" s="36" t="n"/>
      <c r="B338" s="37" t="n"/>
      <c r="C338" s="37" t="n"/>
      <c r="D338" s="38">
        <f>IF(C338="","",IFERROR(INDEX(Anuncios!$B$6:$B$65,MATCH(C338,Anuncios!$A$6:$A$65,0)),"(no está en Anuncios)"))</f>
        <v/>
      </c>
      <c r="E338" s="39" t="n"/>
      <c r="F338" s="40" t="n"/>
      <c r="G338" s="40" t="n"/>
      <c r="H338" s="40" t="n"/>
      <c r="I338" s="39" t="n"/>
      <c r="J338" s="13">
        <f>IF(N(F338)&gt;0,G338/F338,"")</f>
        <v/>
      </c>
      <c r="K338" s="10">
        <f>IF(N(G338)&gt;0,E338/G338,"")</f>
        <v/>
      </c>
      <c r="L338" s="10">
        <f>IF(N(H338)&gt;0,E338/H338,"")</f>
        <v/>
      </c>
      <c r="M338" s="11">
        <f>IF(N(E338)&gt;0,I338/E338,"")</f>
        <v/>
      </c>
      <c r="N338" s="10">
        <f>IF(AND(E338="",I338=""),"",N(I338)*(1-COM-COM_SHOP)-N(E338)*(1+IMP_META))</f>
        <v/>
      </c>
      <c r="O338" s="37" t="n"/>
    </row>
    <row r="339">
      <c r="A339" s="36" t="n"/>
      <c r="B339" s="37" t="n"/>
      <c r="C339" s="37" t="n"/>
      <c r="D339" s="38">
        <f>IF(C339="","",IFERROR(INDEX(Anuncios!$B$6:$B$65,MATCH(C339,Anuncios!$A$6:$A$65,0)),"(no está en Anuncios)"))</f>
        <v/>
      </c>
      <c r="E339" s="39" t="n"/>
      <c r="F339" s="40" t="n"/>
      <c r="G339" s="40" t="n"/>
      <c r="H339" s="40" t="n"/>
      <c r="I339" s="39" t="n"/>
      <c r="J339" s="13">
        <f>IF(N(F339)&gt;0,G339/F339,"")</f>
        <v/>
      </c>
      <c r="K339" s="10">
        <f>IF(N(G339)&gt;0,E339/G339,"")</f>
        <v/>
      </c>
      <c r="L339" s="10">
        <f>IF(N(H339)&gt;0,E339/H339,"")</f>
        <v/>
      </c>
      <c r="M339" s="11">
        <f>IF(N(E339)&gt;0,I339/E339,"")</f>
        <v/>
      </c>
      <c r="N339" s="10">
        <f>IF(AND(E339="",I339=""),"",N(I339)*(1-COM-COM_SHOP)-N(E339)*(1+IMP_META))</f>
        <v/>
      </c>
      <c r="O339" s="37" t="n"/>
    </row>
    <row r="340">
      <c r="A340" s="36" t="n"/>
      <c r="B340" s="37" t="n"/>
      <c r="C340" s="37" t="n"/>
      <c r="D340" s="38">
        <f>IF(C340="","",IFERROR(INDEX(Anuncios!$B$6:$B$65,MATCH(C340,Anuncios!$A$6:$A$65,0)),"(no está en Anuncios)"))</f>
        <v/>
      </c>
      <c r="E340" s="39" t="n"/>
      <c r="F340" s="40" t="n"/>
      <c r="G340" s="40" t="n"/>
      <c r="H340" s="40" t="n"/>
      <c r="I340" s="39" t="n"/>
      <c r="J340" s="13">
        <f>IF(N(F340)&gt;0,G340/F340,"")</f>
        <v/>
      </c>
      <c r="K340" s="10">
        <f>IF(N(G340)&gt;0,E340/G340,"")</f>
        <v/>
      </c>
      <c r="L340" s="10">
        <f>IF(N(H340)&gt;0,E340/H340,"")</f>
        <v/>
      </c>
      <c r="M340" s="11">
        <f>IF(N(E340)&gt;0,I340/E340,"")</f>
        <v/>
      </c>
      <c r="N340" s="10">
        <f>IF(AND(E340="",I340=""),"",N(I340)*(1-COM-COM_SHOP)-N(E340)*(1+IMP_META))</f>
        <v/>
      </c>
      <c r="O340" s="37" t="n"/>
    </row>
    <row r="341">
      <c r="A341" s="36" t="n"/>
      <c r="B341" s="37" t="n"/>
      <c r="C341" s="37" t="n"/>
      <c r="D341" s="38">
        <f>IF(C341="","",IFERROR(INDEX(Anuncios!$B$6:$B$65,MATCH(C341,Anuncios!$A$6:$A$65,0)),"(no está en Anuncios)"))</f>
        <v/>
      </c>
      <c r="E341" s="39" t="n"/>
      <c r="F341" s="40" t="n"/>
      <c r="G341" s="40" t="n"/>
      <c r="H341" s="40" t="n"/>
      <c r="I341" s="39" t="n"/>
      <c r="J341" s="13">
        <f>IF(N(F341)&gt;0,G341/F341,"")</f>
        <v/>
      </c>
      <c r="K341" s="10">
        <f>IF(N(G341)&gt;0,E341/G341,"")</f>
        <v/>
      </c>
      <c r="L341" s="10">
        <f>IF(N(H341)&gt;0,E341/H341,"")</f>
        <v/>
      </c>
      <c r="M341" s="11">
        <f>IF(N(E341)&gt;0,I341/E341,"")</f>
        <v/>
      </c>
      <c r="N341" s="10">
        <f>IF(AND(E341="",I341=""),"",N(I341)*(1-COM-COM_SHOP)-N(E341)*(1+IMP_META))</f>
        <v/>
      </c>
      <c r="O341" s="37" t="n"/>
    </row>
    <row r="342">
      <c r="A342" s="36" t="n"/>
      <c r="B342" s="37" t="n"/>
      <c r="C342" s="37" t="n"/>
      <c r="D342" s="38">
        <f>IF(C342="","",IFERROR(INDEX(Anuncios!$B$6:$B$65,MATCH(C342,Anuncios!$A$6:$A$65,0)),"(no está en Anuncios)"))</f>
        <v/>
      </c>
      <c r="E342" s="39" t="n"/>
      <c r="F342" s="40" t="n"/>
      <c r="G342" s="40" t="n"/>
      <c r="H342" s="40" t="n"/>
      <c r="I342" s="39" t="n"/>
      <c r="J342" s="13">
        <f>IF(N(F342)&gt;0,G342/F342,"")</f>
        <v/>
      </c>
      <c r="K342" s="10">
        <f>IF(N(G342)&gt;0,E342/G342,"")</f>
        <v/>
      </c>
      <c r="L342" s="10">
        <f>IF(N(H342)&gt;0,E342/H342,"")</f>
        <v/>
      </c>
      <c r="M342" s="11">
        <f>IF(N(E342)&gt;0,I342/E342,"")</f>
        <v/>
      </c>
      <c r="N342" s="10">
        <f>IF(AND(E342="",I342=""),"",N(I342)*(1-COM-COM_SHOP)-N(E342)*(1+IMP_META))</f>
        <v/>
      </c>
      <c r="O342" s="37" t="n"/>
    </row>
    <row r="343">
      <c r="A343" s="36" t="n"/>
      <c r="B343" s="37" t="n"/>
      <c r="C343" s="37" t="n"/>
      <c r="D343" s="38">
        <f>IF(C343="","",IFERROR(INDEX(Anuncios!$B$6:$B$65,MATCH(C343,Anuncios!$A$6:$A$65,0)),"(no está en Anuncios)"))</f>
        <v/>
      </c>
      <c r="E343" s="39" t="n"/>
      <c r="F343" s="40" t="n"/>
      <c r="G343" s="40" t="n"/>
      <c r="H343" s="40" t="n"/>
      <c r="I343" s="39" t="n"/>
      <c r="J343" s="13">
        <f>IF(N(F343)&gt;0,G343/F343,"")</f>
        <v/>
      </c>
      <c r="K343" s="10">
        <f>IF(N(G343)&gt;0,E343/G343,"")</f>
        <v/>
      </c>
      <c r="L343" s="10">
        <f>IF(N(H343)&gt;0,E343/H343,"")</f>
        <v/>
      </c>
      <c r="M343" s="11">
        <f>IF(N(E343)&gt;0,I343/E343,"")</f>
        <v/>
      </c>
      <c r="N343" s="10">
        <f>IF(AND(E343="",I343=""),"",N(I343)*(1-COM-COM_SHOP)-N(E343)*(1+IMP_META))</f>
        <v/>
      </c>
      <c r="O343" s="37" t="n"/>
    </row>
    <row r="344">
      <c r="A344" s="36" t="n"/>
      <c r="B344" s="37" t="n"/>
      <c r="C344" s="37" t="n"/>
      <c r="D344" s="38">
        <f>IF(C344="","",IFERROR(INDEX(Anuncios!$B$6:$B$65,MATCH(C344,Anuncios!$A$6:$A$65,0)),"(no está en Anuncios)"))</f>
        <v/>
      </c>
      <c r="E344" s="39" t="n"/>
      <c r="F344" s="40" t="n"/>
      <c r="G344" s="40" t="n"/>
      <c r="H344" s="40" t="n"/>
      <c r="I344" s="39" t="n"/>
      <c r="J344" s="13">
        <f>IF(N(F344)&gt;0,G344/F344,"")</f>
        <v/>
      </c>
      <c r="K344" s="10">
        <f>IF(N(G344)&gt;0,E344/G344,"")</f>
        <v/>
      </c>
      <c r="L344" s="10">
        <f>IF(N(H344)&gt;0,E344/H344,"")</f>
        <v/>
      </c>
      <c r="M344" s="11">
        <f>IF(N(E344)&gt;0,I344/E344,"")</f>
        <v/>
      </c>
      <c r="N344" s="10">
        <f>IF(AND(E344="",I344=""),"",N(I344)*(1-COM-COM_SHOP)-N(E344)*(1+IMP_META))</f>
        <v/>
      </c>
      <c r="O344" s="37" t="n"/>
    </row>
    <row r="345">
      <c r="A345" s="36" t="n"/>
      <c r="B345" s="37" t="n"/>
      <c r="C345" s="37" t="n"/>
      <c r="D345" s="38">
        <f>IF(C345="","",IFERROR(INDEX(Anuncios!$B$6:$B$65,MATCH(C345,Anuncios!$A$6:$A$65,0)),"(no está en Anuncios)"))</f>
        <v/>
      </c>
      <c r="E345" s="39" t="n"/>
      <c r="F345" s="40" t="n"/>
      <c r="G345" s="40" t="n"/>
      <c r="H345" s="40" t="n"/>
      <c r="I345" s="39" t="n"/>
      <c r="J345" s="13">
        <f>IF(N(F345)&gt;0,G345/F345,"")</f>
        <v/>
      </c>
      <c r="K345" s="10">
        <f>IF(N(G345)&gt;0,E345/G345,"")</f>
        <v/>
      </c>
      <c r="L345" s="10">
        <f>IF(N(H345)&gt;0,E345/H345,"")</f>
        <v/>
      </c>
      <c r="M345" s="11">
        <f>IF(N(E345)&gt;0,I345/E345,"")</f>
        <v/>
      </c>
      <c r="N345" s="10">
        <f>IF(AND(E345="",I345=""),"",N(I345)*(1-COM-COM_SHOP)-N(E345)*(1+IMP_META))</f>
        <v/>
      </c>
      <c r="O345" s="37" t="n"/>
    </row>
    <row r="346">
      <c r="A346" s="36" t="n"/>
      <c r="B346" s="37" t="n"/>
      <c r="C346" s="37" t="n"/>
      <c r="D346" s="38">
        <f>IF(C346="","",IFERROR(INDEX(Anuncios!$B$6:$B$65,MATCH(C346,Anuncios!$A$6:$A$65,0)),"(no está en Anuncios)"))</f>
        <v/>
      </c>
      <c r="E346" s="39" t="n"/>
      <c r="F346" s="40" t="n"/>
      <c r="G346" s="40" t="n"/>
      <c r="H346" s="40" t="n"/>
      <c r="I346" s="39" t="n"/>
      <c r="J346" s="13">
        <f>IF(N(F346)&gt;0,G346/F346,"")</f>
        <v/>
      </c>
      <c r="K346" s="10">
        <f>IF(N(G346)&gt;0,E346/G346,"")</f>
        <v/>
      </c>
      <c r="L346" s="10">
        <f>IF(N(H346)&gt;0,E346/H346,"")</f>
        <v/>
      </c>
      <c r="M346" s="11">
        <f>IF(N(E346)&gt;0,I346/E346,"")</f>
        <v/>
      </c>
      <c r="N346" s="10">
        <f>IF(AND(E346="",I346=""),"",N(I346)*(1-COM-COM_SHOP)-N(E346)*(1+IMP_META))</f>
        <v/>
      </c>
      <c r="O346" s="37" t="n"/>
    </row>
    <row r="347">
      <c r="A347" s="36" t="n"/>
      <c r="B347" s="37" t="n"/>
      <c r="C347" s="37" t="n"/>
      <c r="D347" s="38">
        <f>IF(C347="","",IFERROR(INDEX(Anuncios!$B$6:$B$65,MATCH(C347,Anuncios!$A$6:$A$65,0)),"(no está en Anuncios)"))</f>
        <v/>
      </c>
      <c r="E347" s="39" t="n"/>
      <c r="F347" s="40" t="n"/>
      <c r="G347" s="40" t="n"/>
      <c r="H347" s="40" t="n"/>
      <c r="I347" s="39" t="n"/>
      <c r="J347" s="13">
        <f>IF(N(F347)&gt;0,G347/F347,"")</f>
        <v/>
      </c>
      <c r="K347" s="10">
        <f>IF(N(G347)&gt;0,E347/G347,"")</f>
        <v/>
      </c>
      <c r="L347" s="10">
        <f>IF(N(H347)&gt;0,E347/H347,"")</f>
        <v/>
      </c>
      <c r="M347" s="11">
        <f>IF(N(E347)&gt;0,I347/E347,"")</f>
        <v/>
      </c>
      <c r="N347" s="10">
        <f>IF(AND(E347="",I347=""),"",N(I347)*(1-COM-COM_SHOP)-N(E347)*(1+IMP_META))</f>
        <v/>
      </c>
      <c r="O347" s="37" t="n"/>
    </row>
    <row r="348">
      <c r="A348" s="36" t="n"/>
      <c r="B348" s="37" t="n"/>
      <c r="C348" s="37" t="n"/>
      <c r="D348" s="38">
        <f>IF(C348="","",IFERROR(INDEX(Anuncios!$B$6:$B$65,MATCH(C348,Anuncios!$A$6:$A$65,0)),"(no está en Anuncios)"))</f>
        <v/>
      </c>
      <c r="E348" s="39" t="n"/>
      <c r="F348" s="40" t="n"/>
      <c r="G348" s="40" t="n"/>
      <c r="H348" s="40" t="n"/>
      <c r="I348" s="39" t="n"/>
      <c r="J348" s="13">
        <f>IF(N(F348)&gt;0,G348/F348,"")</f>
        <v/>
      </c>
      <c r="K348" s="10">
        <f>IF(N(G348)&gt;0,E348/G348,"")</f>
        <v/>
      </c>
      <c r="L348" s="10">
        <f>IF(N(H348)&gt;0,E348/H348,"")</f>
        <v/>
      </c>
      <c r="M348" s="11">
        <f>IF(N(E348)&gt;0,I348/E348,"")</f>
        <v/>
      </c>
      <c r="N348" s="10">
        <f>IF(AND(E348="",I348=""),"",N(I348)*(1-COM-COM_SHOP)-N(E348)*(1+IMP_META))</f>
        <v/>
      </c>
      <c r="O348" s="37" t="n"/>
    </row>
    <row r="349">
      <c r="A349" s="36" t="n"/>
      <c r="B349" s="37" t="n"/>
      <c r="C349" s="37" t="n"/>
      <c r="D349" s="38">
        <f>IF(C349="","",IFERROR(INDEX(Anuncios!$B$6:$B$65,MATCH(C349,Anuncios!$A$6:$A$65,0)),"(no está en Anuncios)"))</f>
        <v/>
      </c>
      <c r="E349" s="39" t="n"/>
      <c r="F349" s="40" t="n"/>
      <c r="G349" s="40" t="n"/>
      <c r="H349" s="40" t="n"/>
      <c r="I349" s="39" t="n"/>
      <c r="J349" s="13">
        <f>IF(N(F349)&gt;0,G349/F349,"")</f>
        <v/>
      </c>
      <c r="K349" s="10">
        <f>IF(N(G349)&gt;0,E349/G349,"")</f>
        <v/>
      </c>
      <c r="L349" s="10">
        <f>IF(N(H349)&gt;0,E349/H349,"")</f>
        <v/>
      </c>
      <c r="M349" s="11">
        <f>IF(N(E349)&gt;0,I349/E349,"")</f>
        <v/>
      </c>
      <c r="N349" s="10">
        <f>IF(AND(E349="",I349=""),"",N(I349)*(1-COM-COM_SHOP)-N(E349)*(1+IMP_META))</f>
        <v/>
      </c>
      <c r="O349" s="37" t="n"/>
    </row>
    <row r="350">
      <c r="A350" s="36" t="n"/>
      <c r="B350" s="37" t="n"/>
      <c r="C350" s="37" t="n"/>
      <c r="D350" s="38">
        <f>IF(C350="","",IFERROR(INDEX(Anuncios!$B$6:$B$65,MATCH(C350,Anuncios!$A$6:$A$65,0)),"(no está en Anuncios)"))</f>
        <v/>
      </c>
      <c r="E350" s="39" t="n"/>
      <c r="F350" s="40" t="n"/>
      <c r="G350" s="40" t="n"/>
      <c r="H350" s="40" t="n"/>
      <c r="I350" s="39" t="n"/>
      <c r="J350" s="13">
        <f>IF(N(F350)&gt;0,G350/F350,"")</f>
        <v/>
      </c>
      <c r="K350" s="10">
        <f>IF(N(G350)&gt;0,E350/G350,"")</f>
        <v/>
      </c>
      <c r="L350" s="10">
        <f>IF(N(H350)&gt;0,E350/H350,"")</f>
        <v/>
      </c>
      <c r="M350" s="11">
        <f>IF(N(E350)&gt;0,I350/E350,"")</f>
        <v/>
      </c>
      <c r="N350" s="10">
        <f>IF(AND(E350="",I350=""),"",N(I350)*(1-COM-COM_SHOP)-N(E350)*(1+IMP_META))</f>
        <v/>
      </c>
      <c r="O350" s="37" t="n"/>
    </row>
    <row r="351">
      <c r="A351" s="36" t="n"/>
      <c r="B351" s="37" t="n"/>
      <c r="C351" s="37" t="n"/>
      <c r="D351" s="38">
        <f>IF(C351="","",IFERROR(INDEX(Anuncios!$B$6:$B$65,MATCH(C351,Anuncios!$A$6:$A$65,0)),"(no está en Anuncios)"))</f>
        <v/>
      </c>
      <c r="E351" s="39" t="n"/>
      <c r="F351" s="40" t="n"/>
      <c r="G351" s="40" t="n"/>
      <c r="H351" s="40" t="n"/>
      <c r="I351" s="39" t="n"/>
      <c r="J351" s="13">
        <f>IF(N(F351)&gt;0,G351/F351,"")</f>
        <v/>
      </c>
      <c r="K351" s="10">
        <f>IF(N(G351)&gt;0,E351/G351,"")</f>
        <v/>
      </c>
      <c r="L351" s="10">
        <f>IF(N(H351)&gt;0,E351/H351,"")</f>
        <v/>
      </c>
      <c r="M351" s="11">
        <f>IF(N(E351)&gt;0,I351/E351,"")</f>
        <v/>
      </c>
      <c r="N351" s="10">
        <f>IF(AND(E351="",I351=""),"",N(I351)*(1-COM-COM_SHOP)-N(E351)*(1+IMP_META))</f>
        <v/>
      </c>
      <c r="O351" s="37" t="n"/>
    </row>
    <row r="352">
      <c r="A352" s="36" t="n"/>
      <c r="B352" s="37" t="n"/>
      <c r="C352" s="37" t="n"/>
      <c r="D352" s="38">
        <f>IF(C352="","",IFERROR(INDEX(Anuncios!$B$6:$B$65,MATCH(C352,Anuncios!$A$6:$A$65,0)),"(no está en Anuncios)"))</f>
        <v/>
      </c>
      <c r="E352" s="39" t="n"/>
      <c r="F352" s="40" t="n"/>
      <c r="G352" s="40" t="n"/>
      <c r="H352" s="40" t="n"/>
      <c r="I352" s="39" t="n"/>
      <c r="J352" s="13">
        <f>IF(N(F352)&gt;0,G352/F352,"")</f>
        <v/>
      </c>
      <c r="K352" s="10">
        <f>IF(N(G352)&gt;0,E352/G352,"")</f>
        <v/>
      </c>
      <c r="L352" s="10">
        <f>IF(N(H352)&gt;0,E352/H352,"")</f>
        <v/>
      </c>
      <c r="M352" s="11">
        <f>IF(N(E352)&gt;0,I352/E352,"")</f>
        <v/>
      </c>
      <c r="N352" s="10">
        <f>IF(AND(E352="",I352=""),"",N(I352)*(1-COM-COM_SHOP)-N(E352)*(1+IMP_META))</f>
        <v/>
      </c>
      <c r="O352" s="37" t="n"/>
    </row>
    <row r="353">
      <c r="A353" s="36" t="n"/>
      <c r="B353" s="37" t="n"/>
      <c r="C353" s="37" t="n"/>
      <c r="D353" s="38">
        <f>IF(C353="","",IFERROR(INDEX(Anuncios!$B$6:$B$65,MATCH(C353,Anuncios!$A$6:$A$65,0)),"(no está en Anuncios)"))</f>
        <v/>
      </c>
      <c r="E353" s="39" t="n"/>
      <c r="F353" s="40" t="n"/>
      <c r="G353" s="40" t="n"/>
      <c r="H353" s="40" t="n"/>
      <c r="I353" s="39" t="n"/>
      <c r="J353" s="13">
        <f>IF(N(F353)&gt;0,G353/F353,"")</f>
        <v/>
      </c>
      <c r="K353" s="10">
        <f>IF(N(G353)&gt;0,E353/G353,"")</f>
        <v/>
      </c>
      <c r="L353" s="10">
        <f>IF(N(H353)&gt;0,E353/H353,"")</f>
        <v/>
      </c>
      <c r="M353" s="11">
        <f>IF(N(E353)&gt;0,I353/E353,"")</f>
        <v/>
      </c>
      <c r="N353" s="10">
        <f>IF(AND(E353="",I353=""),"",N(I353)*(1-COM-COM_SHOP)-N(E353)*(1+IMP_META))</f>
        <v/>
      </c>
      <c r="O353" s="37" t="n"/>
    </row>
    <row r="354">
      <c r="A354" s="36" t="n"/>
      <c r="B354" s="37" t="n"/>
      <c r="C354" s="37" t="n"/>
      <c r="D354" s="38">
        <f>IF(C354="","",IFERROR(INDEX(Anuncios!$B$6:$B$65,MATCH(C354,Anuncios!$A$6:$A$65,0)),"(no está en Anuncios)"))</f>
        <v/>
      </c>
      <c r="E354" s="39" t="n"/>
      <c r="F354" s="40" t="n"/>
      <c r="G354" s="40" t="n"/>
      <c r="H354" s="40" t="n"/>
      <c r="I354" s="39" t="n"/>
      <c r="J354" s="13">
        <f>IF(N(F354)&gt;0,G354/F354,"")</f>
        <v/>
      </c>
      <c r="K354" s="10">
        <f>IF(N(G354)&gt;0,E354/G354,"")</f>
        <v/>
      </c>
      <c r="L354" s="10">
        <f>IF(N(H354)&gt;0,E354/H354,"")</f>
        <v/>
      </c>
      <c r="M354" s="11">
        <f>IF(N(E354)&gt;0,I354/E354,"")</f>
        <v/>
      </c>
      <c r="N354" s="10">
        <f>IF(AND(E354="",I354=""),"",N(I354)*(1-COM-COM_SHOP)-N(E354)*(1+IMP_META))</f>
        <v/>
      </c>
      <c r="O354" s="37" t="n"/>
    </row>
    <row r="355">
      <c r="A355" s="36" t="n"/>
      <c r="B355" s="37" t="n"/>
      <c r="C355" s="37" t="n"/>
      <c r="D355" s="38">
        <f>IF(C355="","",IFERROR(INDEX(Anuncios!$B$6:$B$65,MATCH(C355,Anuncios!$A$6:$A$65,0)),"(no está en Anuncios)"))</f>
        <v/>
      </c>
      <c r="E355" s="39" t="n"/>
      <c r="F355" s="40" t="n"/>
      <c r="G355" s="40" t="n"/>
      <c r="H355" s="40" t="n"/>
      <c r="I355" s="39" t="n"/>
      <c r="J355" s="13">
        <f>IF(N(F355)&gt;0,G355/F355,"")</f>
        <v/>
      </c>
      <c r="K355" s="10">
        <f>IF(N(G355)&gt;0,E355/G355,"")</f>
        <v/>
      </c>
      <c r="L355" s="10">
        <f>IF(N(H355)&gt;0,E355/H355,"")</f>
        <v/>
      </c>
      <c r="M355" s="11">
        <f>IF(N(E355)&gt;0,I355/E355,"")</f>
        <v/>
      </c>
      <c r="N355" s="10">
        <f>IF(AND(E355="",I355=""),"",N(I355)*(1-COM-COM_SHOP)-N(E355)*(1+IMP_META))</f>
        <v/>
      </c>
      <c r="O355" s="37" t="n"/>
    </row>
    <row r="356">
      <c r="A356" s="36" t="n"/>
      <c r="B356" s="37" t="n"/>
      <c r="C356" s="37" t="n"/>
      <c r="D356" s="38">
        <f>IF(C356="","",IFERROR(INDEX(Anuncios!$B$6:$B$65,MATCH(C356,Anuncios!$A$6:$A$65,0)),"(no está en Anuncios)"))</f>
        <v/>
      </c>
      <c r="E356" s="39" t="n"/>
      <c r="F356" s="40" t="n"/>
      <c r="G356" s="40" t="n"/>
      <c r="H356" s="40" t="n"/>
      <c r="I356" s="39" t="n"/>
      <c r="J356" s="13">
        <f>IF(N(F356)&gt;0,G356/F356,"")</f>
        <v/>
      </c>
      <c r="K356" s="10">
        <f>IF(N(G356)&gt;0,E356/G356,"")</f>
        <v/>
      </c>
      <c r="L356" s="10">
        <f>IF(N(H356)&gt;0,E356/H356,"")</f>
        <v/>
      </c>
      <c r="M356" s="11">
        <f>IF(N(E356)&gt;0,I356/E356,"")</f>
        <v/>
      </c>
      <c r="N356" s="10">
        <f>IF(AND(E356="",I356=""),"",N(I356)*(1-COM-COM_SHOP)-N(E356)*(1+IMP_META))</f>
        <v/>
      </c>
      <c r="O356" s="37" t="n"/>
    </row>
    <row r="357">
      <c r="A357" s="36" t="n"/>
      <c r="B357" s="37" t="n"/>
      <c r="C357" s="37" t="n"/>
      <c r="D357" s="38">
        <f>IF(C357="","",IFERROR(INDEX(Anuncios!$B$6:$B$65,MATCH(C357,Anuncios!$A$6:$A$65,0)),"(no está en Anuncios)"))</f>
        <v/>
      </c>
      <c r="E357" s="39" t="n"/>
      <c r="F357" s="40" t="n"/>
      <c r="G357" s="40" t="n"/>
      <c r="H357" s="40" t="n"/>
      <c r="I357" s="39" t="n"/>
      <c r="J357" s="13">
        <f>IF(N(F357)&gt;0,G357/F357,"")</f>
        <v/>
      </c>
      <c r="K357" s="10">
        <f>IF(N(G357)&gt;0,E357/G357,"")</f>
        <v/>
      </c>
      <c r="L357" s="10">
        <f>IF(N(H357)&gt;0,E357/H357,"")</f>
        <v/>
      </c>
      <c r="M357" s="11">
        <f>IF(N(E357)&gt;0,I357/E357,"")</f>
        <v/>
      </c>
      <c r="N357" s="10">
        <f>IF(AND(E357="",I357=""),"",N(I357)*(1-COM-COM_SHOP)-N(E357)*(1+IMP_META))</f>
        <v/>
      </c>
      <c r="O357" s="37" t="n"/>
    </row>
    <row r="358">
      <c r="A358" s="36" t="n"/>
      <c r="B358" s="37" t="n"/>
      <c r="C358" s="37" t="n"/>
      <c r="D358" s="38">
        <f>IF(C358="","",IFERROR(INDEX(Anuncios!$B$6:$B$65,MATCH(C358,Anuncios!$A$6:$A$65,0)),"(no está en Anuncios)"))</f>
        <v/>
      </c>
      <c r="E358" s="39" t="n"/>
      <c r="F358" s="40" t="n"/>
      <c r="G358" s="40" t="n"/>
      <c r="H358" s="40" t="n"/>
      <c r="I358" s="39" t="n"/>
      <c r="J358" s="13">
        <f>IF(N(F358)&gt;0,G358/F358,"")</f>
        <v/>
      </c>
      <c r="K358" s="10">
        <f>IF(N(G358)&gt;0,E358/G358,"")</f>
        <v/>
      </c>
      <c r="L358" s="10">
        <f>IF(N(H358)&gt;0,E358/H358,"")</f>
        <v/>
      </c>
      <c r="M358" s="11">
        <f>IF(N(E358)&gt;0,I358/E358,"")</f>
        <v/>
      </c>
      <c r="N358" s="10">
        <f>IF(AND(E358="",I358=""),"",N(I358)*(1-COM-COM_SHOP)-N(E358)*(1+IMP_META))</f>
        <v/>
      </c>
      <c r="O358" s="37" t="n"/>
    </row>
    <row r="359">
      <c r="A359" s="36" t="n"/>
      <c r="B359" s="37" t="n"/>
      <c r="C359" s="37" t="n"/>
      <c r="D359" s="38">
        <f>IF(C359="","",IFERROR(INDEX(Anuncios!$B$6:$B$65,MATCH(C359,Anuncios!$A$6:$A$65,0)),"(no está en Anuncios)"))</f>
        <v/>
      </c>
      <c r="E359" s="39" t="n"/>
      <c r="F359" s="40" t="n"/>
      <c r="G359" s="40" t="n"/>
      <c r="H359" s="40" t="n"/>
      <c r="I359" s="39" t="n"/>
      <c r="J359" s="13">
        <f>IF(N(F359)&gt;0,G359/F359,"")</f>
        <v/>
      </c>
      <c r="K359" s="10">
        <f>IF(N(G359)&gt;0,E359/G359,"")</f>
        <v/>
      </c>
      <c r="L359" s="10">
        <f>IF(N(H359)&gt;0,E359/H359,"")</f>
        <v/>
      </c>
      <c r="M359" s="11">
        <f>IF(N(E359)&gt;0,I359/E359,"")</f>
        <v/>
      </c>
      <c r="N359" s="10">
        <f>IF(AND(E359="",I359=""),"",N(I359)*(1-COM-COM_SHOP)-N(E359)*(1+IMP_META))</f>
        <v/>
      </c>
      <c r="O359" s="37" t="n"/>
    </row>
    <row r="360">
      <c r="A360" s="36" t="n"/>
      <c r="B360" s="37" t="n"/>
      <c r="C360" s="37" t="n"/>
      <c r="D360" s="38">
        <f>IF(C360="","",IFERROR(INDEX(Anuncios!$B$6:$B$65,MATCH(C360,Anuncios!$A$6:$A$65,0)),"(no está en Anuncios)"))</f>
        <v/>
      </c>
      <c r="E360" s="39" t="n"/>
      <c r="F360" s="40" t="n"/>
      <c r="G360" s="40" t="n"/>
      <c r="H360" s="40" t="n"/>
      <c r="I360" s="39" t="n"/>
      <c r="J360" s="13">
        <f>IF(N(F360)&gt;0,G360/F360,"")</f>
        <v/>
      </c>
      <c r="K360" s="10">
        <f>IF(N(G360)&gt;0,E360/G360,"")</f>
        <v/>
      </c>
      <c r="L360" s="10">
        <f>IF(N(H360)&gt;0,E360/H360,"")</f>
        <v/>
      </c>
      <c r="M360" s="11">
        <f>IF(N(E360)&gt;0,I360/E360,"")</f>
        <v/>
      </c>
      <c r="N360" s="10">
        <f>IF(AND(E360="",I360=""),"",N(I360)*(1-COM-COM_SHOP)-N(E360)*(1+IMP_META))</f>
        <v/>
      </c>
      <c r="O360" s="37" t="n"/>
    </row>
    <row r="361">
      <c r="A361" s="36" t="n"/>
      <c r="B361" s="37" t="n"/>
      <c r="C361" s="37" t="n"/>
      <c r="D361" s="38">
        <f>IF(C361="","",IFERROR(INDEX(Anuncios!$B$6:$B$65,MATCH(C361,Anuncios!$A$6:$A$65,0)),"(no está en Anuncios)"))</f>
        <v/>
      </c>
      <c r="E361" s="39" t="n"/>
      <c r="F361" s="40" t="n"/>
      <c r="G361" s="40" t="n"/>
      <c r="H361" s="40" t="n"/>
      <c r="I361" s="39" t="n"/>
      <c r="J361" s="13">
        <f>IF(N(F361)&gt;0,G361/F361,"")</f>
        <v/>
      </c>
      <c r="K361" s="10">
        <f>IF(N(G361)&gt;0,E361/G361,"")</f>
        <v/>
      </c>
      <c r="L361" s="10">
        <f>IF(N(H361)&gt;0,E361/H361,"")</f>
        <v/>
      </c>
      <c r="M361" s="11">
        <f>IF(N(E361)&gt;0,I361/E361,"")</f>
        <v/>
      </c>
      <c r="N361" s="10">
        <f>IF(AND(E361="",I361=""),"",N(I361)*(1-COM-COM_SHOP)-N(E361)*(1+IMP_META))</f>
        <v/>
      </c>
      <c r="O361" s="37" t="n"/>
    </row>
    <row r="362">
      <c r="A362" s="36" t="n"/>
      <c r="B362" s="37" t="n"/>
      <c r="C362" s="37" t="n"/>
      <c r="D362" s="38">
        <f>IF(C362="","",IFERROR(INDEX(Anuncios!$B$6:$B$65,MATCH(C362,Anuncios!$A$6:$A$65,0)),"(no está en Anuncios)"))</f>
        <v/>
      </c>
      <c r="E362" s="39" t="n"/>
      <c r="F362" s="40" t="n"/>
      <c r="G362" s="40" t="n"/>
      <c r="H362" s="40" t="n"/>
      <c r="I362" s="39" t="n"/>
      <c r="J362" s="13">
        <f>IF(N(F362)&gt;0,G362/F362,"")</f>
        <v/>
      </c>
      <c r="K362" s="10">
        <f>IF(N(G362)&gt;0,E362/G362,"")</f>
        <v/>
      </c>
      <c r="L362" s="10">
        <f>IF(N(H362)&gt;0,E362/H362,"")</f>
        <v/>
      </c>
      <c r="M362" s="11">
        <f>IF(N(E362)&gt;0,I362/E362,"")</f>
        <v/>
      </c>
      <c r="N362" s="10">
        <f>IF(AND(E362="",I362=""),"",N(I362)*(1-COM-COM_SHOP)-N(E362)*(1+IMP_META))</f>
        <v/>
      </c>
      <c r="O362" s="37" t="n"/>
    </row>
    <row r="363">
      <c r="A363" s="36" t="n"/>
      <c r="B363" s="37" t="n"/>
      <c r="C363" s="37" t="n"/>
      <c r="D363" s="38">
        <f>IF(C363="","",IFERROR(INDEX(Anuncios!$B$6:$B$65,MATCH(C363,Anuncios!$A$6:$A$65,0)),"(no está en Anuncios)"))</f>
        <v/>
      </c>
      <c r="E363" s="39" t="n"/>
      <c r="F363" s="40" t="n"/>
      <c r="G363" s="40" t="n"/>
      <c r="H363" s="40" t="n"/>
      <c r="I363" s="39" t="n"/>
      <c r="J363" s="13">
        <f>IF(N(F363)&gt;0,G363/F363,"")</f>
        <v/>
      </c>
      <c r="K363" s="10">
        <f>IF(N(G363)&gt;0,E363/G363,"")</f>
        <v/>
      </c>
      <c r="L363" s="10">
        <f>IF(N(H363)&gt;0,E363/H363,"")</f>
        <v/>
      </c>
      <c r="M363" s="11">
        <f>IF(N(E363)&gt;0,I363/E363,"")</f>
        <v/>
      </c>
      <c r="N363" s="10">
        <f>IF(AND(E363="",I363=""),"",N(I363)*(1-COM-COM_SHOP)-N(E363)*(1+IMP_META))</f>
        <v/>
      </c>
      <c r="O363" s="37" t="n"/>
    </row>
    <row r="364">
      <c r="A364" s="36" t="n"/>
      <c r="B364" s="37" t="n"/>
      <c r="C364" s="37" t="n"/>
      <c r="D364" s="38">
        <f>IF(C364="","",IFERROR(INDEX(Anuncios!$B$6:$B$65,MATCH(C364,Anuncios!$A$6:$A$65,0)),"(no está en Anuncios)"))</f>
        <v/>
      </c>
      <c r="E364" s="39" t="n"/>
      <c r="F364" s="40" t="n"/>
      <c r="G364" s="40" t="n"/>
      <c r="H364" s="40" t="n"/>
      <c r="I364" s="39" t="n"/>
      <c r="J364" s="13">
        <f>IF(N(F364)&gt;0,G364/F364,"")</f>
        <v/>
      </c>
      <c r="K364" s="10">
        <f>IF(N(G364)&gt;0,E364/G364,"")</f>
        <v/>
      </c>
      <c r="L364" s="10">
        <f>IF(N(H364)&gt;0,E364/H364,"")</f>
        <v/>
      </c>
      <c r="M364" s="11">
        <f>IF(N(E364)&gt;0,I364/E364,"")</f>
        <v/>
      </c>
      <c r="N364" s="10">
        <f>IF(AND(E364="",I364=""),"",N(I364)*(1-COM-COM_SHOP)-N(E364)*(1+IMP_META))</f>
        <v/>
      </c>
      <c r="O364" s="37" t="n"/>
    </row>
    <row r="365">
      <c r="A365" s="36" t="n"/>
      <c r="B365" s="37" t="n"/>
      <c r="C365" s="37" t="n"/>
      <c r="D365" s="38">
        <f>IF(C365="","",IFERROR(INDEX(Anuncios!$B$6:$B$65,MATCH(C365,Anuncios!$A$6:$A$65,0)),"(no está en Anuncios)"))</f>
        <v/>
      </c>
      <c r="E365" s="39" t="n"/>
      <c r="F365" s="40" t="n"/>
      <c r="G365" s="40" t="n"/>
      <c r="H365" s="40" t="n"/>
      <c r="I365" s="39" t="n"/>
      <c r="J365" s="13">
        <f>IF(N(F365)&gt;0,G365/F365,"")</f>
        <v/>
      </c>
      <c r="K365" s="10">
        <f>IF(N(G365)&gt;0,E365/G365,"")</f>
        <v/>
      </c>
      <c r="L365" s="10">
        <f>IF(N(H365)&gt;0,E365/H365,"")</f>
        <v/>
      </c>
      <c r="M365" s="11">
        <f>IF(N(E365)&gt;0,I365/E365,"")</f>
        <v/>
      </c>
      <c r="N365" s="10">
        <f>IF(AND(E365="",I365=""),"",N(I365)*(1-COM-COM_SHOP)-N(E365)*(1+IMP_META))</f>
        <v/>
      </c>
      <c r="O365" s="37" t="n"/>
    </row>
    <row r="366">
      <c r="A366" s="36" t="n"/>
      <c r="B366" s="37" t="n"/>
      <c r="C366" s="37" t="n"/>
      <c r="D366" s="38">
        <f>IF(C366="","",IFERROR(INDEX(Anuncios!$B$6:$B$65,MATCH(C366,Anuncios!$A$6:$A$65,0)),"(no está en Anuncios)"))</f>
        <v/>
      </c>
      <c r="E366" s="39" t="n"/>
      <c r="F366" s="40" t="n"/>
      <c r="G366" s="40" t="n"/>
      <c r="H366" s="40" t="n"/>
      <c r="I366" s="39" t="n"/>
      <c r="J366" s="13">
        <f>IF(N(F366)&gt;0,G366/F366,"")</f>
        <v/>
      </c>
      <c r="K366" s="10">
        <f>IF(N(G366)&gt;0,E366/G366,"")</f>
        <v/>
      </c>
      <c r="L366" s="10">
        <f>IF(N(H366)&gt;0,E366/H366,"")</f>
        <v/>
      </c>
      <c r="M366" s="11">
        <f>IF(N(E366)&gt;0,I366/E366,"")</f>
        <v/>
      </c>
      <c r="N366" s="10">
        <f>IF(AND(E366="",I366=""),"",N(I366)*(1-COM-COM_SHOP)-N(E366)*(1+IMP_META))</f>
        <v/>
      </c>
      <c r="O366" s="37" t="n"/>
    </row>
    <row r="367">
      <c r="A367" s="36" t="n"/>
      <c r="B367" s="37" t="n"/>
      <c r="C367" s="37" t="n"/>
      <c r="D367" s="38">
        <f>IF(C367="","",IFERROR(INDEX(Anuncios!$B$6:$B$65,MATCH(C367,Anuncios!$A$6:$A$65,0)),"(no está en Anuncios)"))</f>
        <v/>
      </c>
      <c r="E367" s="39" t="n"/>
      <c r="F367" s="40" t="n"/>
      <c r="G367" s="40" t="n"/>
      <c r="H367" s="40" t="n"/>
      <c r="I367" s="39" t="n"/>
      <c r="J367" s="13">
        <f>IF(N(F367)&gt;0,G367/F367,"")</f>
        <v/>
      </c>
      <c r="K367" s="10">
        <f>IF(N(G367)&gt;0,E367/G367,"")</f>
        <v/>
      </c>
      <c r="L367" s="10">
        <f>IF(N(H367)&gt;0,E367/H367,"")</f>
        <v/>
      </c>
      <c r="M367" s="11">
        <f>IF(N(E367)&gt;0,I367/E367,"")</f>
        <v/>
      </c>
      <c r="N367" s="10">
        <f>IF(AND(E367="",I367=""),"",N(I367)*(1-COM-COM_SHOP)-N(E367)*(1+IMP_META))</f>
        <v/>
      </c>
      <c r="O367" s="37" t="n"/>
    </row>
    <row r="368">
      <c r="A368" s="36" t="n"/>
      <c r="B368" s="37" t="n"/>
      <c r="C368" s="37" t="n"/>
      <c r="D368" s="38">
        <f>IF(C368="","",IFERROR(INDEX(Anuncios!$B$6:$B$65,MATCH(C368,Anuncios!$A$6:$A$65,0)),"(no está en Anuncios)"))</f>
        <v/>
      </c>
      <c r="E368" s="39" t="n"/>
      <c r="F368" s="40" t="n"/>
      <c r="G368" s="40" t="n"/>
      <c r="H368" s="40" t="n"/>
      <c r="I368" s="39" t="n"/>
      <c r="J368" s="13">
        <f>IF(N(F368)&gt;0,G368/F368,"")</f>
        <v/>
      </c>
      <c r="K368" s="10">
        <f>IF(N(G368)&gt;0,E368/G368,"")</f>
        <v/>
      </c>
      <c r="L368" s="10">
        <f>IF(N(H368)&gt;0,E368/H368,"")</f>
        <v/>
      </c>
      <c r="M368" s="11">
        <f>IF(N(E368)&gt;0,I368/E368,"")</f>
        <v/>
      </c>
      <c r="N368" s="10">
        <f>IF(AND(E368="",I368=""),"",N(I368)*(1-COM-COM_SHOP)-N(E368)*(1+IMP_META))</f>
        <v/>
      </c>
      <c r="O368" s="37" t="n"/>
    </row>
    <row r="369">
      <c r="A369" s="36" t="n"/>
      <c r="B369" s="37" t="n"/>
      <c r="C369" s="37" t="n"/>
      <c r="D369" s="38">
        <f>IF(C369="","",IFERROR(INDEX(Anuncios!$B$6:$B$65,MATCH(C369,Anuncios!$A$6:$A$65,0)),"(no está en Anuncios)"))</f>
        <v/>
      </c>
      <c r="E369" s="39" t="n"/>
      <c r="F369" s="40" t="n"/>
      <c r="G369" s="40" t="n"/>
      <c r="H369" s="40" t="n"/>
      <c r="I369" s="39" t="n"/>
      <c r="J369" s="13">
        <f>IF(N(F369)&gt;0,G369/F369,"")</f>
        <v/>
      </c>
      <c r="K369" s="10">
        <f>IF(N(G369)&gt;0,E369/G369,"")</f>
        <v/>
      </c>
      <c r="L369" s="10">
        <f>IF(N(H369)&gt;0,E369/H369,"")</f>
        <v/>
      </c>
      <c r="M369" s="11">
        <f>IF(N(E369)&gt;0,I369/E369,"")</f>
        <v/>
      </c>
      <c r="N369" s="10">
        <f>IF(AND(E369="",I369=""),"",N(I369)*(1-COM-COM_SHOP)-N(E369)*(1+IMP_META))</f>
        <v/>
      </c>
      <c r="O369" s="37" t="n"/>
    </row>
    <row r="370">
      <c r="A370" s="36" t="n"/>
      <c r="B370" s="37" t="n"/>
      <c r="C370" s="37" t="n"/>
      <c r="D370" s="38">
        <f>IF(C370="","",IFERROR(INDEX(Anuncios!$B$6:$B$65,MATCH(C370,Anuncios!$A$6:$A$65,0)),"(no está en Anuncios)"))</f>
        <v/>
      </c>
      <c r="E370" s="39" t="n"/>
      <c r="F370" s="40" t="n"/>
      <c r="G370" s="40" t="n"/>
      <c r="H370" s="40" t="n"/>
      <c r="I370" s="39" t="n"/>
      <c r="J370" s="13">
        <f>IF(N(F370)&gt;0,G370/F370,"")</f>
        <v/>
      </c>
      <c r="K370" s="10">
        <f>IF(N(G370)&gt;0,E370/G370,"")</f>
        <v/>
      </c>
      <c r="L370" s="10">
        <f>IF(N(H370)&gt;0,E370/H370,"")</f>
        <v/>
      </c>
      <c r="M370" s="11">
        <f>IF(N(E370)&gt;0,I370/E370,"")</f>
        <v/>
      </c>
      <c r="N370" s="10">
        <f>IF(AND(E370="",I370=""),"",N(I370)*(1-COM-COM_SHOP)-N(E370)*(1+IMP_META))</f>
        <v/>
      </c>
      <c r="O370" s="37" t="n"/>
    </row>
    <row r="371">
      <c r="A371" s="36" t="n"/>
      <c r="B371" s="37" t="n"/>
      <c r="C371" s="37" t="n"/>
      <c r="D371" s="38">
        <f>IF(C371="","",IFERROR(INDEX(Anuncios!$B$6:$B$65,MATCH(C371,Anuncios!$A$6:$A$65,0)),"(no está en Anuncios)"))</f>
        <v/>
      </c>
      <c r="E371" s="39" t="n"/>
      <c r="F371" s="40" t="n"/>
      <c r="G371" s="40" t="n"/>
      <c r="H371" s="40" t="n"/>
      <c r="I371" s="39" t="n"/>
      <c r="J371" s="13">
        <f>IF(N(F371)&gt;0,G371/F371,"")</f>
        <v/>
      </c>
      <c r="K371" s="10">
        <f>IF(N(G371)&gt;0,E371/G371,"")</f>
        <v/>
      </c>
      <c r="L371" s="10">
        <f>IF(N(H371)&gt;0,E371/H371,"")</f>
        <v/>
      </c>
      <c r="M371" s="11">
        <f>IF(N(E371)&gt;0,I371/E371,"")</f>
        <v/>
      </c>
      <c r="N371" s="10">
        <f>IF(AND(E371="",I371=""),"",N(I371)*(1-COM-COM_SHOP)-N(E371)*(1+IMP_META))</f>
        <v/>
      </c>
      <c r="O371" s="37" t="n"/>
    </row>
    <row r="372">
      <c r="A372" s="36" t="n"/>
      <c r="B372" s="37" t="n"/>
      <c r="C372" s="37" t="n"/>
      <c r="D372" s="38">
        <f>IF(C372="","",IFERROR(INDEX(Anuncios!$B$6:$B$65,MATCH(C372,Anuncios!$A$6:$A$65,0)),"(no está en Anuncios)"))</f>
        <v/>
      </c>
      <c r="E372" s="39" t="n"/>
      <c r="F372" s="40" t="n"/>
      <c r="G372" s="40" t="n"/>
      <c r="H372" s="40" t="n"/>
      <c r="I372" s="39" t="n"/>
      <c r="J372" s="13">
        <f>IF(N(F372)&gt;0,G372/F372,"")</f>
        <v/>
      </c>
      <c r="K372" s="10">
        <f>IF(N(G372)&gt;0,E372/G372,"")</f>
        <v/>
      </c>
      <c r="L372" s="10">
        <f>IF(N(H372)&gt;0,E372/H372,"")</f>
        <v/>
      </c>
      <c r="M372" s="11">
        <f>IF(N(E372)&gt;0,I372/E372,"")</f>
        <v/>
      </c>
      <c r="N372" s="10">
        <f>IF(AND(E372="",I372=""),"",N(I372)*(1-COM-COM_SHOP)-N(E372)*(1+IMP_META))</f>
        <v/>
      </c>
      <c r="O372" s="37" t="n"/>
    </row>
    <row r="373">
      <c r="A373" s="36" t="n"/>
      <c r="B373" s="37" t="n"/>
      <c r="C373" s="37" t="n"/>
      <c r="D373" s="38">
        <f>IF(C373="","",IFERROR(INDEX(Anuncios!$B$6:$B$65,MATCH(C373,Anuncios!$A$6:$A$65,0)),"(no está en Anuncios)"))</f>
        <v/>
      </c>
      <c r="E373" s="39" t="n"/>
      <c r="F373" s="40" t="n"/>
      <c r="G373" s="40" t="n"/>
      <c r="H373" s="40" t="n"/>
      <c r="I373" s="39" t="n"/>
      <c r="J373" s="13">
        <f>IF(N(F373)&gt;0,G373/F373,"")</f>
        <v/>
      </c>
      <c r="K373" s="10">
        <f>IF(N(G373)&gt;0,E373/G373,"")</f>
        <v/>
      </c>
      <c r="L373" s="10">
        <f>IF(N(H373)&gt;0,E373/H373,"")</f>
        <v/>
      </c>
      <c r="M373" s="11">
        <f>IF(N(E373)&gt;0,I373/E373,"")</f>
        <v/>
      </c>
      <c r="N373" s="10">
        <f>IF(AND(E373="",I373=""),"",N(I373)*(1-COM-COM_SHOP)-N(E373)*(1+IMP_META))</f>
        <v/>
      </c>
      <c r="O373" s="37" t="n"/>
    </row>
    <row r="374">
      <c r="A374" s="36" t="n"/>
      <c r="B374" s="37" t="n"/>
      <c r="C374" s="37" t="n"/>
      <c r="D374" s="38">
        <f>IF(C374="","",IFERROR(INDEX(Anuncios!$B$6:$B$65,MATCH(C374,Anuncios!$A$6:$A$65,0)),"(no está en Anuncios)"))</f>
        <v/>
      </c>
      <c r="E374" s="39" t="n"/>
      <c r="F374" s="40" t="n"/>
      <c r="G374" s="40" t="n"/>
      <c r="H374" s="40" t="n"/>
      <c r="I374" s="39" t="n"/>
      <c r="J374" s="13">
        <f>IF(N(F374)&gt;0,G374/F374,"")</f>
        <v/>
      </c>
      <c r="K374" s="10">
        <f>IF(N(G374)&gt;0,E374/G374,"")</f>
        <v/>
      </c>
      <c r="L374" s="10">
        <f>IF(N(H374)&gt;0,E374/H374,"")</f>
        <v/>
      </c>
      <c r="M374" s="11">
        <f>IF(N(E374)&gt;0,I374/E374,"")</f>
        <v/>
      </c>
      <c r="N374" s="10">
        <f>IF(AND(E374="",I374=""),"",N(I374)*(1-COM-COM_SHOP)-N(E374)*(1+IMP_META))</f>
        <v/>
      </c>
      <c r="O374" s="37" t="n"/>
    </row>
    <row r="375">
      <c r="A375" s="36" t="n"/>
      <c r="B375" s="37" t="n"/>
      <c r="C375" s="37" t="n"/>
      <c r="D375" s="38">
        <f>IF(C375="","",IFERROR(INDEX(Anuncios!$B$6:$B$65,MATCH(C375,Anuncios!$A$6:$A$65,0)),"(no está en Anuncios)"))</f>
        <v/>
      </c>
      <c r="E375" s="39" t="n"/>
      <c r="F375" s="40" t="n"/>
      <c r="G375" s="40" t="n"/>
      <c r="H375" s="40" t="n"/>
      <c r="I375" s="39" t="n"/>
      <c r="J375" s="13">
        <f>IF(N(F375)&gt;0,G375/F375,"")</f>
        <v/>
      </c>
      <c r="K375" s="10">
        <f>IF(N(G375)&gt;0,E375/G375,"")</f>
        <v/>
      </c>
      <c r="L375" s="10">
        <f>IF(N(H375)&gt;0,E375/H375,"")</f>
        <v/>
      </c>
      <c r="M375" s="11">
        <f>IF(N(E375)&gt;0,I375/E375,"")</f>
        <v/>
      </c>
      <c r="N375" s="10">
        <f>IF(AND(E375="",I375=""),"",N(I375)*(1-COM-COM_SHOP)-N(E375)*(1+IMP_META))</f>
        <v/>
      </c>
      <c r="O375" s="37" t="n"/>
    </row>
    <row r="376">
      <c r="A376" s="36" t="n"/>
      <c r="B376" s="37" t="n"/>
      <c r="C376" s="37" t="n"/>
      <c r="D376" s="38">
        <f>IF(C376="","",IFERROR(INDEX(Anuncios!$B$6:$B$65,MATCH(C376,Anuncios!$A$6:$A$65,0)),"(no está en Anuncios)"))</f>
        <v/>
      </c>
      <c r="E376" s="39" t="n"/>
      <c r="F376" s="40" t="n"/>
      <c r="G376" s="40" t="n"/>
      <c r="H376" s="40" t="n"/>
      <c r="I376" s="39" t="n"/>
      <c r="J376" s="13">
        <f>IF(N(F376)&gt;0,G376/F376,"")</f>
        <v/>
      </c>
      <c r="K376" s="10">
        <f>IF(N(G376)&gt;0,E376/G376,"")</f>
        <v/>
      </c>
      <c r="L376" s="10">
        <f>IF(N(H376)&gt;0,E376/H376,"")</f>
        <v/>
      </c>
      <c r="M376" s="11">
        <f>IF(N(E376)&gt;0,I376/E376,"")</f>
        <v/>
      </c>
      <c r="N376" s="10">
        <f>IF(AND(E376="",I376=""),"",N(I376)*(1-COM-COM_SHOP)-N(E376)*(1+IMP_META))</f>
        <v/>
      </c>
      <c r="O376" s="37" t="n"/>
    </row>
    <row r="377">
      <c r="A377" s="36" t="n"/>
      <c r="B377" s="37" t="n"/>
      <c r="C377" s="37" t="n"/>
      <c r="D377" s="38">
        <f>IF(C377="","",IFERROR(INDEX(Anuncios!$B$6:$B$65,MATCH(C377,Anuncios!$A$6:$A$65,0)),"(no está en Anuncios)"))</f>
        <v/>
      </c>
      <c r="E377" s="39" t="n"/>
      <c r="F377" s="40" t="n"/>
      <c r="G377" s="40" t="n"/>
      <c r="H377" s="40" t="n"/>
      <c r="I377" s="39" t="n"/>
      <c r="J377" s="13">
        <f>IF(N(F377)&gt;0,G377/F377,"")</f>
        <v/>
      </c>
      <c r="K377" s="10">
        <f>IF(N(G377)&gt;0,E377/G377,"")</f>
        <v/>
      </c>
      <c r="L377" s="10">
        <f>IF(N(H377)&gt;0,E377/H377,"")</f>
        <v/>
      </c>
      <c r="M377" s="11">
        <f>IF(N(E377)&gt;0,I377/E377,"")</f>
        <v/>
      </c>
      <c r="N377" s="10">
        <f>IF(AND(E377="",I377=""),"",N(I377)*(1-COM-COM_SHOP)-N(E377)*(1+IMP_META))</f>
        <v/>
      </c>
      <c r="O377" s="37" t="n"/>
    </row>
    <row r="378">
      <c r="A378" s="36" t="n"/>
      <c r="B378" s="37" t="n"/>
      <c r="C378" s="37" t="n"/>
      <c r="D378" s="38">
        <f>IF(C378="","",IFERROR(INDEX(Anuncios!$B$6:$B$65,MATCH(C378,Anuncios!$A$6:$A$65,0)),"(no está en Anuncios)"))</f>
        <v/>
      </c>
      <c r="E378" s="39" t="n"/>
      <c r="F378" s="40" t="n"/>
      <c r="G378" s="40" t="n"/>
      <c r="H378" s="40" t="n"/>
      <c r="I378" s="39" t="n"/>
      <c r="J378" s="13">
        <f>IF(N(F378)&gt;0,G378/F378,"")</f>
        <v/>
      </c>
      <c r="K378" s="10">
        <f>IF(N(G378)&gt;0,E378/G378,"")</f>
        <v/>
      </c>
      <c r="L378" s="10">
        <f>IF(N(H378)&gt;0,E378/H378,"")</f>
        <v/>
      </c>
      <c r="M378" s="11">
        <f>IF(N(E378)&gt;0,I378/E378,"")</f>
        <v/>
      </c>
      <c r="N378" s="10">
        <f>IF(AND(E378="",I378=""),"",N(I378)*(1-COM-COM_SHOP)-N(E378)*(1+IMP_META))</f>
        <v/>
      </c>
      <c r="O378" s="37" t="n"/>
    </row>
    <row r="379">
      <c r="A379" s="36" t="n"/>
      <c r="B379" s="37" t="n"/>
      <c r="C379" s="37" t="n"/>
      <c r="D379" s="38">
        <f>IF(C379="","",IFERROR(INDEX(Anuncios!$B$6:$B$65,MATCH(C379,Anuncios!$A$6:$A$65,0)),"(no está en Anuncios)"))</f>
        <v/>
      </c>
      <c r="E379" s="39" t="n"/>
      <c r="F379" s="40" t="n"/>
      <c r="G379" s="40" t="n"/>
      <c r="H379" s="40" t="n"/>
      <c r="I379" s="39" t="n"/>
      <c r="J379" s="13">
        <f>IF(N(F379)&gt;0,G379/F379,"")</f>
        <v/>
      </c>
      <c r="K379" s="10">
        <f>IF(N(G379)&gt;0,E379/G379,"")</f>
        <v/>
      </c>
      <c r="L379" s="10">
        <f>IF(N(H379)&gt;0,E379/H379,"")</f>
        <v/>
      </c>
      <c r="M379" s="11">
        <f>IF(N(E379)&gt;0,I379/E379,"")</f>
        <v/>
      </c>
      <c r="N379" s="10">
        <f>IF(AND(E379="",I379=""),"",N(I379)*(1-COM-COM_SHOP)-N(E379)*(1+IMP_META))</f>
        <v/>
      </c>
      <c r="O379" s="37" t="n"/>
    </row>
    <row r="380">
      <c r="A380" s="36" t="n"/>
      <c r="B380" s="37" t="n"/>
      <c r="C380" s="37" t="n"/>
      <c r="D380" s="38">
        <f>IF(C380="","",IFERROR(INDEX(Anuncios!$B$6:$B$65,MATCH(C380,Anuncios!$A$6:$A$65,0)),"(no está en Anuncios)"))</f>
        <v/>
      </c>
      <c r="E380" s="39" t="n"/>
      <c r="F380" s="40" t="n"/>
      <c r="G380" s="40" t="n"/>
      <c r="H380" s="40" t="n"/>
      <c r="I380" s="39" t="n"/>
      <c r="J380" s="13">
        <f>IF(N(F380)&gt;0,G380/F380,"")</f>
        <v/>
      </c>
      <c r="K380" s="10">
        <f>IF(N(G380)&gt;0,E380/G380,"")</f>
        <v/>
      </c>
      <c r="L380" s="10">
        <f>IF(N(H380)&gt;0,E380/H380,"")</f>
        <v/>
      </c>
      <c r="M380" s="11">
        <f>IF(N(E380)&gt;0,I380/E380,"")</f>
        <v/>
      </c>
      <c r="N380" s="10">
        <f>IF(AND(E380="",I380=""),"",N(I380)*(1-COM-COM_SHOP)-N(E380)*(1+IMP_META))</f>
        <v/>
      </c>
      <c r="O380" s="37" t="n"/>
    </row>
    <row r="381">
      <c r="A381" s="36" t="n"/>
      <c r="B381" s="37" t="n"/>
      <c r="C381" s="37" t="n"/>
      <c r="D381" s="38">
        <f>IF(C381="","",IFERROR(INDEX(Anuncios!$B$6:$B$65,MATCH(C381,Anuncios!$A$6:$A$65,0)),"(no está en Anuncios)"))</f>
        <v/>
      </c>
      <c r="E381" s="39" t="n"/>
      <c r="F381" s="40" t="n"/>
      <c r="G381" s="40" t="n"/>
      <c r="H381" s="40" t="n"/>
      <c r="I381" s="39" t="n"/>
      <c r="J381" s="13">
        <f>IF(N(F381)&gt;0,G381/F381,"")</f>
        <v/>
      </c>
      <c r="K381" s="10">
        <f>IF(N(G381)&gt;0,E381/G381,"")</f>
        <v/>
      </c>
      <c r="L381" s="10">
        <f>IF(N(H381)&gt;0,E381/H381,"")</f>
        <v/>
      </c>
      <c r="M381" s="11">
        <f>IF(N(E381)&gt;0,I381/E381,"")</f>
        <v/>
      </c>
      <c r="N381" s="10">
        <f>IF(AND(E381="",I381=""),"",N(I381)*(1-COM-COM_SHOP)-N(E381)*(1+IMP_META))</f>
        <v/>
      </c>
      <c r="O381" s="37" t="n"/>
    </row>
    <row r="382">
      <c r="A382" s="36" t="n"/>
      <c r="B382" s="37" t="n"/>
      <c r="C382" s="37" t="n"/>
      <c r="D382" s="38">
        <f>IF(C382="","",IFERROR(INDEX(Anuncios!$B$6:$B$65,MATCH(C382,Anuncios!$A$6:$A$65,0)),"(no está en Anuncios)"))</f>
        <v/>
      </c>
      <c r="E382" s="39" t="n"/>
      <c r="F382" s="40" t="n"/>
      <c r="G382" s="40" t="n"/>
      <c r="H382" s="40" t="n"/>
      <c r="I382" s="39" t="n"/>
      <c r="J382" s="13">
        <f>IF(N(F382)&gt;0,G382/F382,"")</f>
        <v/>
      </c>
      <c r="K382" s="10">
        <f>IF(N(G382)&gt;0,E382/G382,"")</f>
        <v/>
      </c>
      <c r="L382" s="10">
        <f>IF(N(H382)&gt;0,E382/H382,"")</f>
        <v/>
      </c>
      <c r="M382" s="11">
        <f>IF(N(E382)&gt;0,I382/E382,"")</f>
        <v/>
      </c>
      <c r="N382" s="10">
        <f>IF(AND(E382="",I382=""),"",N(I382)*(1-COM-COM_SHOP)-N(E382)*(1+IMP_META))</f>
        <v/>
      </c>
      <c r="O382" s="37" t="n"/>
    </row>
    <row r="383">
      <c r="A383" s="36" t="n"/>
      <c r="B383" s="37" t="n"/>
      <c r="C383" s="37" t="n"/>
      <c r="D383" s="38">
        <f>IF(C383="","",IFERROR(INDEX(Anuncios!$B$6:$B$65,MATCH(C383,Anuncios!$A$6:$A$65,0)),"(no está en Anuncios)"))</f>
        <v/>
      </c>
      <c r="E383" s="39" t="n"/>
      <c r="F383" s="40" t="n"/>
      <c r="G383" s="40" t="n"/>
      <c r="H383" s="40" t="n"/>
      <c r="I383" s="39" t="n"/>
      <c r="J383" s="13">
        <f>IF(N(F383)&gt;0,G383/F383,"")</f>
        <v/>
      </c>
      <c r="K383" s="10">
        <f>IF(N(G383)&gt;0,E383/G383,"")</f>
        <v/>
      </c>
      <c r="L383" s="10">
        <f>IF(N(H383)&gt;0,E383/H383,"")</f>
        <v/>
      </c>
      <c r="M383" s="11">
        <f>IF(N(E383)&gt;0,I383/E383,"")</f>
        <v/>
      </c>
      <c r="N383" s="10">
        <f>IF(AND(E383="",I383=""),"",N(I383)*(1-COM-COM_SHOP)-N(E383)*(1+IMP_META))</f>
        <v/>
      </c>
      <c r="O383" s="37" t="n"/>
    </row>
    <row r="384">
      <c r="A384" s="36" t="n"/>
      <c r="B384" s="37" t="n"/>
      <c r="C384" s="37" t="n"/>
      <c r="D384" s="38">
        <f>IF(C384="","",IFERROR(INDEX(Anuncios!$B$6:$B$65,MATCH(C384,Anuncios!$A$6:$A$65,0)),"(no está en Anuncios)"))</f>
        <v/>
      </c>
      <c r="E384" s="39" t="n"/>
      <c r="F384" s="40" t="n"/>
      <c r="G384" s="40" t="n"/>
      <c r="H384" s="40" t="n"/>
      <c r="I384" s="39" t="n"/>
      <c r="J384" s="13">
        <f>IF(N(F384)&gt;0,G384/F384,"")</f>
        <v/>
      </c>
      <c r="K384" s="10">
        <f>IF(N(G384)&gt;0,E384/G384,"")</f>
        <v/>
      </c>
      <c r="L384" s="10">
        <f>IF(N(H384)&gt;0,E384/H384,"")</f>
        <v/>
      </c>
      <c r="M384" s="11">
        <f>IF(N(E384)&gt;0,I384/E384,"")</f>
        <v/>
      </c>
      <c r="N384" s="10">
        <f>IF(AND(E384="",I384=""),"",N(I384)*(1-COM-COM_SHOP)-N(E384)*(1+IMP_META))</f>
        <v/>
      </c>
      <c r="O384" s="37" t="n"/>
    </row>
    <row r="385">
      <c r="A385" s="36" t="n"/>
      <c r="B385" s="37" t="n"/>
      <c r="C385" s="37" t="n"/>
      <c r="D385" s="38">
        <f>IF(C385="","",IFERROR(INDEX(Anuncios!$B$6:$B$65,MATCH(C385,Anuncios!$A$6:$A$65,0)),"(no está en Anuncios)"))</f>
        <v/>
      </c>
      <c r="E385" s="39" t="n"/>
      <c r="F385" s="40" t="n"/>
      <c r="G385" s="40" t="n"/>
      <c r="H385" s="40" t="n"/>
      <c r="I385" s="39" t="n"/>
      <c r="J385" s="13">
        <f>IF(N(F385)&gt;0,G385/F385,"")</f>
        <v/>
      </c>
      <c r="K385" s="10">
        <f>IF(N(G385)&gt;0,E385/G385,"")</f>
        <v/>
      </c>
      <c r="L385" s="10">
        <f>IF(N(H385)&gt;0,E385/H385,"")</f>
        <v/>
      </c>
      <c r="M385" s="11">
        <f>IF(N(E385)&gt;0,I385/E385,"")</f>
        <v/>
      </c>
      <c r="N385" s="10">
        <f>IF(AND(E385="",I385=""),"",N(I385)*(1-COM-COM_SHOP)-N(E385)*(1+IMP_META))</f>
        <v/>
      </c>
      <c r="O385" s="37" t="n"/>
    </row>
    <row r="386">
      <c r="A386" s="36" t="n"/>
      <c r="B386" s="37" t="n"/>
      <c r="C386" s="37" t="n"/>
      <c r="D386" s="38">
        <f>IF(C386="","",IFERROR(INDEX(Anuncios!$B$6:$B$65,MATCH(C386,Anuncios!$A$6:$A$65,0)),"(no está en Anuncios)"))</f>
        <v/>
      </c>
      <c r="E386" s="39" t="n"/>
      <c r="F386" s="40" t="n"/>
      <c r="G386" s="40" t="n"/>
      <c r="H386" s="40" t="n"/>
      <c r="I386" s="39" t="n"/>
      <c r="J386" s="13">
        <f>IF(N(F386)&gt;0,G386/F386,"")</f>
        <v/>
      </c>
      <c r="K386" s="10">
        <f>IF(N(G386)&gt;0,E386/G386,"")</f>
        <v/>
      </c>
      <c r="L386" s="10">
        <f>IF(N(H386)&gt;0,E386/H386,"")</f>
        <v/>
      </c>
      <c r="M386" s="11">
        <f>IF(N(E386)&gt;0,I386/E386,"")</f>
        <v/>
      </c>
      <c r="N386" s="10">
        <f>IF(AND(E386="",I386=""),"",N(I386)*(1-COM-COM_SHOP)-N(E386)*(1+IMP_META))</f>
        <v/>
      </c>
      <c r="O386" s="37" t="n"/>
    </row>
    <row r="387">
      <c r="A387" s="36" t="n"/>
      <c r="B387" s="37" t="n"/>
      <c r="C387" s="37" t="n"/>
      <c r="D387" s="38">
        <f>IF(C387="","",IFERROR(INDEX(Anuncios!$B$6:$B$65,MATCH(C387,Anuncios!$A$6:$A$65,0)),"(no está en Anuncios)"))</f>
        <v/>
      </c>
      <c r="E387" s="39" t="n"/>
      <c r="F387" s="40" t="n"/>
      <c r="G387" s="40" t="n"/>
      <c r="H387" s="40" t="n"/>
      <c r="I387" s="39" t="n"/>
      <c r="J387" s="13">
        <f>IF(N(F387)&gt;0,G387/F387,"")</f>
        <v/>
      </c>
      <c r="K387" s="10">
        <f>IF(N(G387)&gt;0,E387/G387,"")</f>
        <v/>
      </c>
      <c r="L387" s="10">
        <f>IF(N(H387)&gt;0,E387/H387,"")</f>
        <v/>
      </c>
      <c r="M387" s="11">
        <f>IF(N(E387)&gt;0,I387/E387,"")</f>
        <v/>
      </c>
      <c r="N387" s="10">
        <f>IF(AND(E387="",I387=""),"",N(I387)*(1-COM-COM_SHOP)-N(E387)*(1+IMP_META))</f>
        <v/>
      </c>
      <c r="O387" s="37" t="n"/>
    </row>
    <row r="388">
      <c r="A388" s="36" t="n"/>
      <c r="B388" s="37" t="n"/>
      <c r="C388" s="37" t="n"/>
      <c r="D388" s="38">
        <f>IF(C388="","",IFERROR(INDEX(Anuncios!$B$6:$B$65,MATCH(C388,Anuncios!$A$6:$A$65,0)),"(no está en Anuncios)"))</f>
        <v/>
      </c>
      <c r="E388" s="39" t="n"/>
      <c r="F388" s="40" t="n"/>
      <c r="G388" s="40" t="n"/>
      <c r="H388" s="40" t="n"/>
      <c r="I388" s="39" t="n"/>
      <c r="J388" s="13">
        <f>IF(N(F388)&gt;0,G388/F388,"")</f>
        <v/>
      </c>
      <c r="K388" s="10">
        <f>IF(N(G388)&gt;0,E388/G388,"")</f>
        <v/>
      </c>
      <c r="L388" s="10">
        <f>IF(N(H388)&gt;0,E388/H388,"")</f>
        <v/>
      </c>
      <c r="M388" s="11">
        <f>IF(N(E388)&gt;0,I388/E388,"")</f>
        <v/>
      </c>
      <c r="N388" s="10">
        <f>IF(AND(E388="",I388=""),"",N(I388)*(1-COM-COM_SHOP)-N(E388)*(1+IMP_META))</f>
        <v/>
      </c>
      <c r="O388" s="37" t="n"/>
    </row>
    <row r="389">
      <c r="A389" s="36" t="n"/>
      <c r="B389" s="37" t="n"/>
      <c r="C389" s="37" t="n"/>
      <c r="D389" s="38">
        <f>IF(C389="","",IFERROR(INDEX(Anuncios!$B$6:$B$65,MATCH(C389,Anuncios!$A$6:$A$65,0)),"(no está en Anuncios)"))</f>
        <v/>
      </c>
      <c r="E389" s="39" t="n"/>
      <c r="F389" s="40" t="n"/>
      <c r="G389" s="40" t="n"/>
      <c r="H389" s="40" t="n"/>
      <c r="I389" s="39" t="n"/>
      <c r="J389" s="13">
        <f>IF(N(F389)&gt;0,G389/F389,"")</f>
        <v/>
      </c>
      <c r="K389" s="10">
        <f>IF(N(G389)&gt;0,E389/G389,"")</f>
        <v/>
      </c>
      <c r="L389" s="10">
        <f>IF(N(H389)&gt;0,E389/H389,"")</f>
        <v/>
      </c>
      <c r="M389" s="11">
        <f>IF(N(E389)&gt;0,I389/E389,"")</f>
        <v/>
      </c>
      <c r="N389" s="10">
        <f>IF(AND(E389="",I389=""),"",N(I389)*(1-COM-COM_SHOP)-N(E389)*(1+IMP_META))</f>
        <v/>
      </c>
      <c r="O389" s="37" t="n"/>
    </row>
    <row r="390">
      <c r="A390" s="36" t="n"/>
      <c r="B390" s="37" t="n"/>
      <c r="C390" s="37" t="n"/>
      <c r="D390" s="38">
        <f>IF(C390="","",IFERROR(INDEX(Anuncios!$B$6:$B$65,MATCH(C390,Anuncios!$A$6:$A$65,0)),"(no está en Anuncios)"))</f>
        <v/>
      </c>
      <c r="E390" s="39" t="n"/>
      <c r="F390" s="40" t="n"/>
      <c r="G390" s="40" t="n"/>
      <c r="H390" s="40" t="n"/>
      <c r="I390" s="39" t="n"/>
      <c r="J390" s="13">
        <f>IF(N(F390)&gt;0,G390/F390,"")</f>
        <v/>
      </c>
      <c r="K390" s="10">
        <f>IF(N(G390)&gt;0,E390/G390,"")</f>
        <v/>
      </c>
      <c r="L390" s="10">
        <f>IF(N(H390)&gt;0,E390/H390,"")</f>
        <v/>
      </c>
      <c r="M390" s="11">
        <f>IF(N(E390)&gt;0,I390/E390,"")</f>
        <v/>
      </c>
      <c r="N390" s="10">
        <f>IF(AND(E390="",I390=""),"",N(I390)*(1-COM-COM_SHOP)-N(E390)*(1+IMP_META))</f>
        <v/>
      </c>
      <c r="O390" s="37" t="n"/>
    </row>
    <row r="391">
      <c r="A391" s="36" t="n"/>
      <c r="B391" s="37" t="n"/>
      <c r="C391" s="37" t="n"/>
      <c r="D391" s="38">
        <f>IF(C391="","",IFERROR(INDEX(Anuncios!$B$6:$B$65,MATCH(C391,Anuncios!$A$6:$A$65,0)),"(no está en Anuncios)"))</f>
        <v/>
      </c>
      <c r="E391" s="39" t="n"/>
      <c r="F391" s="40" t="n"/>
      <c r="G391" s="40" t="n"/>
      <c r="H391" s="40" t="n"/>
      <c r="I391" s="39" t="n"/>
      <c r="J391" s="13">
        <f>IF(N(F391)&gt;0,G391/F391,"")</f>
        <v/>
      </c>
      <c r="K391" s="10">
        <f>IF(N(G391)&gt;0,E391/G391,"")</f>
        <v/>
      </c>
      <c r="L391" s="10">
        <f>IF(N(H391)&gt;0,E391/H391,"")</f>
        <v/>
      </c>
      <c r="M391" s="11">
        <f>IF(N(E391)&gt;0,I391/E391,"")</f>
        <v/>
      </c>
      <c r="N391" s="10">
        <f>IF(AND(E391="",I391=""),"",N(I391)*(1-COM-COM_SHOP)-N(E391)*(1+IMP_META))</f>
        <v/>
      </c>
      <c r="O391" s="37" t="n"/>
    </row>
    <row r="392">
      <c r="A392" s="36" t="n"/>
      <c r="B392" s="37" t="n"/>
      <c r="C392" s="37" t="n"/>
      <c r="D392" s="38">
        <f>IF(C392="","",IFERROR(INDEX(Anuncios!$B$6:$B$65,MATCH(C392,Anuncios!$A$6:$A$65,0)),"(no está en Anuncios)"))</f>
        <v/>
      </c>
      <c r="E392" s="39" t="n"/>
      <c r="F392" s="40" t="n"/>
      <c r="G392" s="40" t="n"/>
      <c r="H392" s="40" t="n"/>
      <c r="I392" s="39" t="n"/>
      <c r="J392" s="13">
        <f>IF(N(F392)&gt;0,G392/F392,"")</f>
        <v/>
      </c>
      <c r="K392" s="10">
        <f>IF(N(G392)&gt;0,E392/G392,"")</f>
        <v/>
      </c>
      <c r="L392" s="10">
        <f>IF(N(H392)&gt;0,E392/H392,"")</f>
        <v/>
      </c>
      <c r="M392" s="11">
        <f>IF(N(E392)&gt;0,I392/E392,"")</f>
        <v/>
      </c>
      <c r="N392" s="10">
        <f>IF(AND(E392="",I392=""),"",N(I392)*(1-COM-COM_SHOP)-N(E392)*(1+IMP_META))</f>
        <v/>
      </c>
      <c r="O392" s="37" t="n"/>
    </row>
    <row r="393">
      <c r="A393" s="36" t="n"/>
      <c r="B393" s="37" t="n"/>
      <c r="C393" s="37" t="n"/>
      <c r="D393" s="38">
        <f>IF(C393="","",IFERROR(INDEX(Anuncios!$B$6:$B$65,MATCH(C393,Anuncios!$A$6:$A$65,0)),"(no está en Anuncios)"))</f>
        <v/>
      </c>
      <c r="E393" s="39" t="n"/>
      <c r="F393" s="40" t="n"/>
      <c r="G393" s="40" t="n"/>
      <c r="H393" s="40" t="n"/>
      <c r="I393" s="39" t="n"/>
      <c r="J393" s="13">
        <f>IF(N(F393)&gt;0,G393/F393,"")</f>
        <v/>
      </c>
      <c r="K393" s="10">
        <f>IF(N(G393)&gt;0,E393/G393,"")</f>
        <v/>
      </c>
      <c r="L393" s="10">
        <f>IF(N(H393)&gt;0,E393/H393,"")</f>
        <v/>
      </c>
      <c r="M393" s="11">
        <f>IF(N(E393)&gt;0,I393/E393,"")</f>
        <v/>
      </c>
      <c r="N393" s="10">
        <f>IF(AND(E393="",I393=""),"",N(I393)*(1-COM-COM_SHOP)-N(E393)*(1+IMP_META))</f>
        <v/>
      </c>
      <c r="O393" s="37" t="n"/>
    </row>
    <row r="394">
      <c r="A394" s="36" t="n"/>
      <c r="B394" s="37" t="n"/>
      <c r="C394" s="37" t="n"/>
      <c r="D394" s="38">
        <f>IF(C394="","",IFERROR(INDEX(Anuncios!$B$6:$B$65,MATCH(C394,Anuncios!$A$6:$A$65,0)),"(no está en Anuncios)"))</f>
        <v/>
      </c>
      <c r="E394" s="39" t="n"/>
      <c r="F394" s="40" t="n"/>
      <c r="G394" s="40" t="n"/>
      <c r="H394" s="40" t="n"/>
      <c r="I394" s="39" t="n"/>
      <c r="J394" s="13">
        <f>IF(N(F394)&gt;0,G394/F394,"")</f>
        <v/>
      </c>
      <c r="K394" s="10">
        <f>IF(N(G394)&gt;0,E394/G394,"")</f>
        <v/>
      </c>
      <c r="L394" s="10">
        <f>IF(N(H394)&gt;0,E394/H394,"")</f>
        <v/>
      </c>
      <c r="M394" s="11">
        <f>IF(N(E394)&gt;0,I394/E394,"")</f>
        <v/>
      </c>
      <c r="N394" s="10">
        <f>IF(AND(E394="",I394=""),"",N(I394)*(1-COM-COM_SHOP)-N(E394)*(1+IMP_META))</f>
        <v/>
      </c>
      <c r="O394" s="37" t="n"/>
    </row>
    <row r="395">
      <c r="A395" s="36" t="n"/>
      <c r="B395" s="37" t="n"/>
      <c r="C395" s="37" t="n"/>
      <c r="D395" s="38">
        <f>IF(C395="","",IFERROR(INDEX(Anuncios!$B$6:$B$65,MATCH(C395,Anuncios!$A$6:$A$65,0)),"(no está en Anuncios)"))</f>
        <v/>
      </c>
      <c r="E395" s="39" t="n"/>
      <c r="F395" s="40" t="n"/>
      <c r="G395" s="40" t="n"/>
      <c r="H395" s="40" t="n"/>
      <c r="I395" s="39" t="n"/>
      <c r="J395" s="13">
        <f>IF(N(F395)&gt;0,G395/F395,"")</f>
        <v/>
      </c>
      <c r="K395" s="10">
        <f>IF(N(G395)&gt;0,E395/G395,"")</f>
        <v/>
      </c>
      <c r="L395" s="10">
        <f>IF(N(H395)&gt;0,E395/H395,"")</f>
        <v/>
      </c>
      <c r="M395" s="11">
        <f>IF(N(E395)&gt;0,I395/E395,"")</f>
        <v/>
      </c>
      <c r="N395" s="10">
        <f>IF(AND(E395="",I395=""),"",N(I395)*(1-COM-COM_SHOP)-N(E395)*(1+IMP_META))</f>
        <v/>
      </c>
      <c r="O395" s="37" t="n"/>
    </row>
    <row r="396">
      <c r="A396" s="36" t="n"/>
      <c r="B396" s="37" t="n"/>
      <c r="C396" s="37" t="n"/>
      <c r="D396" s="38">
        <f>IF(C396="","",IFERROR(INDEX(Anuncios!$B$6:$B$65,MATCH(C396,Anuncios!$A$6:$A$65,0)),"(no está en Anuncios)"))</f>
        <v/>
      </c>
      <c r="E396" s="39" t="n"/>
      <c r="F396" s="40" t="n"/>
      <c r="G396" s="40" t="n"/>
      <c r="H396" s="40" t="n"/>
      <c r="I396" s="39" t="n"/>
      <c r="J396" s="13">
        <f>IF(N(F396)&gt;0,G396/F396,"")</f>
        <v/>
      </c>
      <c r="K396" s="10">
        <f>IF(N(G396)&gt;0,E396/G396,"")</f>
        <v/>
      </c>
      <c r="L396" s="10">
        <f>IF(N(H396)&gt;0,E396/H396,"")</f>
        <v/>
      </c>
      <c r="M396" s="11">
        <f>IF(N(E396)&gt;0,I396/E396,"")</f>
        <v/>
      </c>
      <c r="N396" s="10">
        <f>IF(AND(E396="",I396=""),"",N(I396)*(1-COM-COM_SHOP)-N(E396)*(1+IMP_META))</f>
        <v/>
      </c>
      <c r="O396" s="37" t="n"/>
    </row>
    <row r="397">
      <c r="A397" s="36" t="n"/>
      <c r="B397" s="37" t="n"/>
      <c r="C397" s="37" t="n"/>
      <c r="D397" s="38">
        <f>IF(C397="","",IFERROR(INDEX(Anuncios!$B$6:$B$65,MATCH(C397,Anuncios!$A$6:$A$65,0)),"(no está en Anuncios)"))</f>
        <v/>
      </c>
      <c r="E397" s="39" t="n"/>
      <c r="F397" s="40" t="n"/>
      <c r="G397" s="40" t="n"/>
      <c r="H397" s="40" t="n"/>
      <c r="I397" s="39" t="n"/>
      <c r="J397" s="13">
        <f>IF(N(F397)&gt;0,G397/F397,"")</f>
        <v/>
      </c>
      <c r="K397" s="10">
        <f>IF(N(G397)&gt;0,E397/G397,"")</f>
        <v/>
      </c>
      <c r="L397" s="10">
        <f>IF(N(H397)&gt;0,E397/H397,"")</f>
        <v/>
      </c>
      <c r="M397" s="11">
        <f>IF(N(E397)&gt;0,I397/E397,"")</f>
        <v/>
      </c>
      <c r="N397" s="10">
        <f>IF(AND(E397="",I397=""),"",N(I397)*(1-COM-COM_SHOP)-N(E397)*(1+IMP_META))</f>
        <v/>
      </c>
      <c r="O397" s="37" t="n"/>
    </row>
    <row r="398">
      <c r="A398" s="36" t="n"/>
      <c r="B398" s="37" t="n"/>
      <c r="C398" s="37" t="n"/>
      <c r="D398" s="38">
        <f>IF(C398="","",IFERROR(INDEX(Anuncios!$B$6:$B$65,MATCH(C398,Anuncios!$A$6:$A$65,0)),"(no está en Anuncios)"))</f>
        <v/>
      </c>
      <c r="E398" s="39" t="n"/>
      <c r="F398" s="40" t="n"/>
      <c r="G398" s="40" t="n"/>
      <c r="H398" s="40" t="n"/>
      <c r="I398" s="39" t="n"/>
      <c r="J398" s="13">
        <f>IF(N(F398)&gt;0,G398/F398,"")</f>
        <v/>
      </c>
      <c r="K398" s="10">
        <f>IF(N(G398)&gt;0,E398/G398,"")</f>
        <v/>
      </c>
      <c r="L398" s="10">
        <f>IF(N(H398)&gt;0,E398/H398,"")</f>
        <v/>
      </c>
      <c r="M398" s="11">
        <f>IF(N(E398)&gt;0,I398/E398,"")</f>
        <v/>
      </c>
      <c r="N398" s="10">
        <f>IF(AND(E398="",I398=""),"",N(I398)*(1-COM-COM_SHOP)-N(E398)*(1+IMP_META))</f>
        <v/>
      </c>
      <c r="O398" s="37" t="n"/>
    </row>
    <row r="399">
      <c r="A399" s="36" t="n"/>
      <c r="B399" s="37" t="n"/>
      <c r="C399" s="37" t="n"/>
      <c r="D399" s="38">
        <f>IF(C399="","",IFERROR(INDEX(Anuncios!$B$6:$B$65,MATCH(C399,Anuncios!$A$6:$A$65,0)),"(no está en Anuncios)"))</f>
        <v/>
      </c>
      <c r="E399" s="39" t="n"/>
      <c r="F399" s="40" t="n"/>
      <c r="G399" s="40" t="n"/>
      <c r="H399" s="40" t="n"/>
      <c r="I399" s="39" t="n"/>
      <c r="J399" s="13">
        <f>IF(N(F399)&gt;0,G399/F399,"")</f>
        <v/>
      </c>
      <c r="K399" s="10">
        <f>IF(N(G399)&gt;0,E399/G399,"")</f>
        <v/>
      </c>
      <c r="L399" s="10">
        <f>IF(N(H399)&gt;0,E399/H399,"")</f>
        <v/>
      </c>
      <c r="M399" s="11">
        <f>IF(N(E399)&gt;0,I399/E399,"")</f>
        <v/>
      </c>
      <c r="N399" s="10">
        <f>IF(AND(E399="",I399=""),"",N(I399)*(1-COM-COM_SHOP)-N(E399)*(1+IMP_META))</f>
        <v/>
      </c>
      <c r="O399" s="37" t="n"/>
    </row>
    <row r="400">
      <c r="A400" s="36" t="n"/>
      <c r="B400" s="37" t="n"/>
      <c r="C400" s="37" t="n"/>
      <c r="D400" s="38">
        <f>IF(C400="","",IFERROR(INDEX(Anuncios!$B$6:$B$65,MATCH(C400,Anuncios!$A$6:$A$65,0)),"(no está en Anuncios)"))</f>
        <v/>
      </c>
      <c r="E400" s="39" t="n"/>
      <c r="F400" s="40" t="n"/>
      <c r="G400" s="40" t="n"/>
      <c r="H400" s="40" t="n"/>
      <c r="I400" s="39" t="n"/>
      <c r="J400" s="13">
        <f>IF(N(F400)&gt;0,G400/F400,"")</f>
        <v/>
      </c>
      <c r="K400" s="10">
        <f>IF(N(G400)&gt;0,E400/G400,"")</f>
        <v/>
      </c>
      <c r="L400" s="10">
        <f>IF(N(H400)&gt;0,E400/H400,"")</f>
        <v/>
      </c>
      <c r="M400" s="11">
        <f>IF(N(E400)&gt;0,I400/E400,"")</f>
        <v/>
      </c>
      <c r="N400" s="10">
        <f>IF(AND(E400="",I400=""),"",N(I400)*(1-COM-COM_SHOP)-N(E400)*(1+IMP_META))</f>
        <v/>
      </c>
      <c r="O400" s="37" t="n"/>
    </row>
    <row r="401">
      <c r="A401" s="36" t="n"/>
      <c r="B401" s="37" t="n"/>
      <c r="C401" s="37" t="n"/>
      <c r="D401" s="38">
        <f>IF(C401="","",IFERROR(INDEX(Anuncios!$B$6:$B$65,MATCH(C401,Anuncios!$A$6:$A$65,0)),"(no está en Anuncios)"))</f>
        <v/>
      </c>
      <c r="E401" s="39" t="n"/>
      <c r="F401" s="40" t="n"/>
      <c r="G401" s="40" t="n"/>
      <c r="H401" s="40" t="n"/>
      <c r="I401" s="39" t="n"/>
      <c r="J401" s="13">
        <f>IF(N(F401)&gt;0,G401/F401,"")</f>
        <v/>
      </c>
      <c r="K401" s="10">
        <f>IF(N(G401)&gt;0,E401/G401,"")</f>
        <v/>
      </c>
      <c r="L401" s="10">
        <f>IF(N(H401)&gt;0,E401/H401,"")</f>
        <v/>
      </c>
      <c r="M401" s="11">
        <f>IF(N(E401)&gt;0,I401/E401,"")</f>
        <v/>
      </c>
      <c r="N401" s="10">
        <f>IF(AND(E401="",I401=""),"",N(I401)*(1-COM-COM_SHOP)-N(E401)*(1+IMP_META))</f>
        <v/>
      </c>
      <c r="O401" s="37" t="n"/>
    </row>
    <row r="402">
      <c r="A402" s="36" t="n"/>
      <c r="B402" s="37" t="n"/>
      <c r="C402" s="37" t="n"/>
      <c r="D402" s="38">
        <f>IF(C402="","",IFERROR(INDEX(Anuncios!$B$6:$B$65,MATCH(C402,Anuncios!$A$6:$A$65,0)),"(no está en Anuncios)"))</f>
        <v/>
      </c>
      <c r="E402" s="39" t="n"/>
      <c r="F402" s="40" t="n"/>
      <c r="G402" s="40" t="n"/>
      <c r="H402" s="40" t="n"/>
      <c r="I402" s="39" t="n"/>
      <c r="J402" s="13">
        <f>IF(N(F402)&gt;0,G402/F402,"")</f>
        <v/>
      </c>
      <c r="K402" s="10">
        <f>IF(N(G402)&gt;0,E402/G402,"")</f>
        <v/>
      </c>
      <c r="L402" s="10">
        <f>IF(N(H402)&gt;0,E402/H402,"")</f>
        <v/>
      </c>
      <c r="M402" s="11">
        <f>IF(N(E402)&gt;0,I402/E402,"")</f>
        <v/>
      </c>
      <c r="N402" s="10">
        <f>IF(AND(E402="",I402=""),"",N(I402)*(1-COM-COM_SHOP)-N(E402)*(1+IMP_META))</f>
        <v/>
      </c>
      <c r="O402" s="37" t="n"/>
    </row>
    <row r="403">
      <c r="A403" s="36" t="n"/>
      <c r="B403" s="37" t="n"/>
      <c r="C403" s="37" t="n"/>
      <c r="D403" s="38">
        <f>IF(C403="","",IFERROR(INDEX(Anuncios!$B$6:$B$65,MATCH(C403,Anuncios!$A$6:$A$65,0)),"(no está en Anuncios)"))</f>
        <v/>
      </c>
      <c r="E403" s="39" t="n"/>
      <c r="F403" s="40" t="n"/>
      <c r="G403" s="40" t="n"/>
      <c r="H403" s="40" t="n"/>
      <c r="I403" s="39" t="n"/>
      <c r="J403" s="13">
        <f>IF(N(F403)&gt;0,G403/F403,"")</f>
        <v/>
      </c>
      <c r="K403" s="10">
        <f>IF(N(G403)&gt;0,E403/G403,"")</f>
        <v/>
      </c>
      <c r="L403" s="10">
        <f>IF(N(H403)&gt;0,E403/H403,"")</f>
        <v/>
      </c>
      <c r="M403" s="11">
        <f>IF(N(E403)&gt;0,I403/E403,"")</f>
        <v/>
      </c>
      <c r="N403" s="10">
        <f>IF(AND(E403="",I403=""),"",N(I403)*(1-COM-COM_SHOP)-N(E403)*(1+IMP_META))</f>
        <v/>
      </c>
      <c r="O403" s="37" t="n"/>
    </row>
    <row r="404">
      <c r="A404" s="36" t="n"/>
      <c r="B404" s="37" t="n"/>
      <c r="C404" s="37" t="n"/>
      <c r="D404" s="38">
        <f>IF(C404="","",IFERROR(INDEX(Anuncios!$B$6:$B$65,MATCH(C404,Anuncios!$A$6:$A$65,0)),"(no está en Anuncios)"))</f>
        <v/>
      </c>
      <c r="E404" s="39" t="n"/>
      <c r="F404" s="40" t="n"/>
      <c r="G404" s="40" t="n"/>
      <c r="H404" s="40" t="n"/>
      <c r="I404" s="39" t="n"/>
      <c r="J404" s="13">
        <f>IF(N(F404)&gt;0,G404/F404,"")</f>
        <v/>
      </c>
      <c r="K404" s="10">
        <f>IF(N(G404)&gt;0,E404/G404,"")</f>
        <v/>
      </c>
      <c r="L404" s="10">
        <f>IF(N(H404)&gt;0,E404/H404,"")</f>
        <v/>
      </c>
      <c r="M404" s="11">
        <f>IF(N(E404)&gt;0,I404/E404,"")</f>
        <v/>
      </c>
      <c r="N404" s="10">
        <f>IF(AND(E404="",I404=""),"",N(I404)*(1-COM-COM_SHOP)-N(E404)*(1+IMP_META))</f>
        <v/>
      </c>
      <c r="O404" s="37" t="n"/>
    </row>
    <row r="405">
      <c r="A405" s="36" t="n"/>
      <c r="B405" s="37" t="n"/>
      <c r="C405" s="37" t="n"/>
      <c r="D405" s="38">
        <f>IF(C405="","",IFERROR(INDEX(Anuncios!$B$6:$B$65,MATCH(C405,Anuncios!$A$6:$A$65,0)),"(no está en Anuncios)"))</f>
        <v/>
      </c>
      <c r="E405" s="39" t="n"/>
      <c r="F405" s="40" t="n"/>
      <c r="G405" s="40" t="n"/>
      <c r="H405" s="40" t="n"/>
      <c r="I405" s="39" t="n"/>
      <c r="J405" s="13">
        <f>IF(N(F405)&gt;0,G405/F405,"")</f>
        <v/>
      </c>
      <c r="K405" s="10">
        <f>IF(N(G405)&gt;0,E405/G405,"")</f>
        <v/>
      </c>
      <c r="L405" s="10">
        <f>IF(N(H405)&gt;0,E405/H405,"")</f>
        <v/>
      </c>
      <c r="M405" s="11">
        <f>IF(N(E405)&gt;0,I405/E405,"")</f>
        <v/>
      </c>
      <c r="N405" s="10">
        <f>IF(AND(E405="",I405=""),"",N(I405)*(1-COM-COM_SHOP)-N(E405)*(1+IMP_META))</f>
        <v/>
      </c>
      <c r="O405" s="37" t="n"/>
    </row>
    <row r="406">
      <c r="A406" s="36" t="n"/>
      <c r="B406" s="37" t="n"/>
      <c r="C406" s="37" t="n"/>
      <c r="D406" s="38">
        <f>IF(C406="","",IFERROR(INDEX(Anuncios!$B$6:$B$65,MATCH(C406,Anuncios!$A$6:$A$65,0)),"(no está en Anuncios)"))</f>
        <v/>
      </c>
      <c r="E406" s="39" t="n"/>
      <c r="F406" s="40" t="n"/>
      <c r="G406" s="40" t="n"/>
      <c r="H406" s="40" t="n"/>
      <c r="I406" s="39" t="n"/>
      <c r="J406" s="13">
        <f>IF(N(F406)&gt;0,G406/F406,"")</f>
        <v/>
      </c>
      <c r="K406" s="10">
        <f>IF(N(G406)&gt;0,E406/G406,"")</f>
        <v/>
      </c>
      <c r="L406" s="10">
        <f>IF(N(H406)&gt;0,E406/H406,"")</f>
        <v/>
      </c>
      <c r="M406" s="11">
        <f>IF(N(E406)&gt;0,I406/E406,"")</f>
        <v/>
      </c>
      <c r="N406" s="10">
        <f>IF(AND(E406="",I406=""),"",N(I406)*(1-COM-COM_SHOP)-N(E406)*(1+IMP_META))</f>
        <v/>
      </c>
      <c r="O406" s="37" t="n"/>
    </row>
    <row r="407">
      <c r="A407" s="36" t="n"/>
      <c r="B407" s="37" t="n"/>
      <c r="C407" s="37" t="n"/>
      <c r="D407" s="38">
        <f>IF(C407="","",IFERROR(INDEX(Anuncios!$B$6:$B$65,MATCH(C407,Anuncios!$A$6:$A$65,0)),"(no está en Anuncios)"))</f>
        <v/>
      </c>
      <c r="E407" s="39" t="n"/>
      <c r="F407" s="40" t="n"/>
      <c r="G407" s="40" t="n"/>
      <c r="H407" s="40" t="n"/>
      <c r="I407" s="39" t="n"/>
      <c r="J407" s="13">
        <f>IF(N(F407)&gt;0,G407/F407,"")</f>
        <v/>
      </c>
      <c r="K407" s="10">
        <f>IF(N(G407)&gt;0,E407/G407,"")</f>
        <v/>
      </c>
      <c r="L407" s="10">
        <f>IF(N(H407)&gt;0,E407/H407,"")</f>
        <v/>
      </c>
      <c r="M407" s="11">
        <f>IF(N(E407)&gt;0,I407/E407,"")</f>
        <v/>
      </c>
      <c r="N407" s="10">
        <f>IF(AND(E407="",I407=""),"",N(I407)*(1-COM-COM_SHOP)-N(E407)*(1+IMP_META))</f>
        <v/>
      </c>
      <c r="O407" s="37" t="n"/>
    </row>
    <row r="408">
      <c r="A408" s="36" t="n"/>
      <c r="B408" s="37" t="n"/>
      <c r="C408" s="37" t="n"/>
      <c r="D408" s="38">
        <f>IF(C408="","",IFERROR(INDEX(Anuncios!$B$6:$B$65,MATCH(C408,Anuncios!$A$6:$A$65,0)),"(no está en Anuncios)"))</f>
        <v/>
      </c>
      <c r="E408" s="39" t="n"/>
      <c r="F408" s="40" t="n"/>
      <c r="G408" s="40" t="n"/>
      <c r="H408" s="40" t="n"/>
      <c r="I408" s="39" t="n"/>
      <c r="J408" s="13">
        <f>IF(N(F408)&gt;0,G408/F408,"")</f>
        <v/>
      </c>
      <c r="K408" s="10">
        <f>IF(N(G408)&gt;0,E408/G408,"")</f>
        <v/>
      </c>
      <c r="L408" s="10">
        <f>IF(N(H408)&gt;0,E408/H408,"")</f>
        <v/>
      </c>
      <c r="M408" s="11">
        <f>IF(N(E408)&gt;0,I408/E408,"")</f>
        <v/>
      </c>
      <c r="N408" s="10">
        <f>IF(AND(E408="",I408=""),"",N(I408)*(1-COM-COM_SHOP)-N(E408)*(1+IMP_META))</f>
        <v/>
      </c>
      <c r="O408" s="37" t="n"/>
    </row>
    <row r="409">
      <c r="A409" s="36" t="n"/>
      <c r="B409" s="37" t="n"/>
      <c r="C409" s="37" t="n"/>
      <c r="D409" s="38">
        <f>IF(C409="","",IFERROR(INDEX(Anuncios!$B$6:$B$65,MATCH(C409,Anuncios!$A$6:$A$65,0)),"(no está en Anuncios)"))</f>
        <v/>
      </c>
      <c r="E409" s="39" t="n"/>
      <c r="F409" s="40" t="n"/>
      <c r="G409" s="40" t="n"/>
      <c r="H409" s="40" t="n"/>
      <c r="I409" s="39" t="n"/>
      <c r="J409" s="13">
        <f>IF(N(F409)&gt;0,G409/F409,"")</f>
        <v/>
      </c>
      <c r="K409" s="10">
        <f>IF(N(G409)&gt;0,E409/G409,"")</f>
        <v/>
      </c>
      <c r="L409" s="10">
        <f>IF(N(H409)&gt;0,E409/H409,"")</f>
        <v/>
      </c>
      <c r="M409" s="11">
        <f>IF(N(E409)&gt;0,I409/E409,"")</f>
        <v/>
      </c>
      <c r="N409" s="10">
        <f>IF(AND(E409="",I409=""),"",N(I409)*(1-COM-COM_SHOP)-N(E409)*(1+IMP_META))</f>
        <v/>
      </c>
      <c r="O409" s="37" t="n"/>
    </row>
    <row r="410">
      <c r="A410" s="36" t="n"/>
      <c r="B410" s="37" t="n"/>
      <c r="C410" s="37" t="n"/>
      <c r="D410" s="38">
        <f>IF(C410="","",IFERROR(INDEX(Anuncios!$B$6:$B$65,MATCH(C410,Anuncios!$A$6:$A$65,0)),"(no está en Anuncios)"))</f>
        <v/>
      </c>
      <c r="E410" s="39" t="n"/>
      <c r="F410" s="40" t="n"/>
      <c r="G410" s="40" t="n"/>
      <c r="H410" s="40" t="n"/>
      <c r="I410" s="39" t="n"/>
      <c r="J410" s="13">
        <f>IF(N(F410)&gt;0,G410/F410,"")</f>
        <v/>
      </c>
      <c r="K410" s="10">
        <f>IF(N(G410)&gt;0,E410/G410,"")</f>
        <v/>
      </c>
      <c r="L410" s="10">
        <f>IF(N(H410)&gt;0,E410/H410,"")</f>
        <v/>
      </c>
      <c r="M410" s="11">
        <f>IF(N(E410)&gt;0,I410/E410,"")</f>
        <v/>
      </c>
      <c r="N410" s="10">
        <f>IF(AND(E410="",I410=""),"",N(I410)*(1-COM-COM_SHOP)-N(E410)*(1+IMP_META))</f>
        <v/>
      </c>
      <c r="O410" s="37" t="n"/>
    </row>
    <row r="411">
      <c r="A411" s="36" t="n"/>
      <c r="B411" s="37" t="n"/>
      <c r="C411" s="37" t="n"/>
      <c r="D411" s="38">
        <f>IF(C411="","",IFERROR(INDEX(Anuncios!$B$6:$B$65,MATCH(C411,Anuncios!$A$6:$A$65,0)),"(no está en Anuncios)"))</f>
        <v/>
      </c>
      <c r="E411" s="39" t="n"/>
      <c r="F411" s="40" t="n"/>
      <c r="G411" s="40" t="n"/>
      <c r="H411" s="40" t="n"/>
      <c r="I411" s="39" t="n"/>
      <c r="J411" s="13">
        <f>IF(N(F411)&gt;0,G411/F411,"")</f>
        <v/>
      </c>
      <c r="K411" s="10">
        <f>IF(N(G411)&gt;0,E411/G411,"")</f>
        <v/>
      </c>
      <c r="L411" s="10">
        <f>IF(N(H411)&gt;0,E411/H411,"")</f>
        <v/>
      </c>
      <c r="M411" s="11">
        <f>IF(N(E411)&gt;0,I411/E411,"")</f>
        <v/>
      </c>
      <c r="N411" s="10">
        <f>IF(AND(E411="",I411=""),"",N(I411)*(1-COM-COM_SHOP)-N(E411)*(1+IMP_META))</f>
        <v/>
      </c>
      <c r="O411" s="37" t="n"/>
    </row>
    <row r="412">
      <c r="A412" s="36" t="n"/>
      <c r="B412" s="37" t="n"/>
      <c r="C412" s="37" t="n"/>
      <c r="D412" s="38">
        <f>IF(C412="","",IFERROR(INDEX(Anuncios!$B$6:$B$65,MATCH(C412,Anuncios!$A$6:$A$65,0)),"(no está en Anuncios)"))</f>
        <v/>
      </c>
      <c r="E412" s="39" t="n"/>
      <c r="F412" s="40" t="n"/>
      <c r="G412" s="40" t="n"/>
      <c r="H412" s="40" t="n"/>
      <c r="I412" s="39" t="n"/>
      <c r="J412" s="13">
        <f>IF(N(F412)&gt;0,G412/F412,"")</f>
        <v/>
      </c>
      <c r="K412" s="10">
        <f>IF(N(G412)&gt;0,E412/G412,"")</f>
        <v/>
      </c>
      <c r="L412" s="10">
        <f>IF(N(H412)&gt;0,E412/H412,"")</f>
        <v/>
      </c>
      <c r="M412" s="11">
        <f>IF(N(E412)&gt;0,I412/E412,"")</f>
        <v/>
      </c>
      <c r="N412" s="10">
        <f>IF(AND(E412="",I412=""),"",N(I412)*(1-COM-COM_SHOP)-N(E412)*(1+IMP_META))</f>
        <v/>
      </c>
      <c r="O412" s="37" t="n"/>
    </row>
    <row r="413">
      <c r="A413" s="36" t="n"/>
      <c r="B413" s="37" t="n"/>
      <c r="C413" s="37" t="n"/>
      <c r="D413" s="38">
        <f>IF(C413="","",IFERROR(INDEX(Anuncios!$B$6:$B$65,MATCH(C413,Anuncios!$A$6:$A$65,0)),"(no está en Anuncios)"))</f>
        <v/>
      </c>
      <c r="E413" s="39" t="n"/>
      <c r="F413" s="40" t="n"/>
      <c r="G413" s="40" t="n"/>
      <c r="H413" s="40" t="n"/>
      <c r="I413" s="39" t="n"/>
      <c r="J413" s="13">
        <f>IF(N(F413)&gt;0,G413/F413,"")</f>
        <v/>
      </c>
      <c r="K413" s="10">
        <f>IF(N(G413)&gt;0,E413/G413,"")</f>
        <v/>
      </c>
      <c r="L413" s="10">
        <f>IF(N(H413)&gt;0,E413/H413,"")</f>
        <v/>
      </c>
      <c r="M413" s="11">
        <f>IF(N(E413)&gt;0,I413/E413,"")</f>
        <v/>
      </c>
      <c r="N413" s="10">
        <f>IF(AND(E413="",I413=""),"",N(I413)*(1-COM-COM_SHOP)-N(E413)*(1+IMP_META))</f>
        <v/>
      </c>
      <c r="O413" s="37" t="n"/>
    </row>
    <row r="414">
      <c r="A414" s="36" t="n"/>
      <c r="B414" s="37" t="n"/>
      <c r="C414" s="37" t="n"/>
      <c r="D414" s="38">
        <f>IF(C414="","",IFERROR(INDEX(Anuncios!$B$6:$B$65,MATCH(C414,Anuncios!$A$6:$A$65,0)),"(no está en Anuncios)"))</f>
        <v/>
      </c>
      <c r="E414" s="39" t="n"/>
      <c r="F414" s="40" t="n"/>
      <c r="G414" s="40" t="n"/>
      <c r="H414" s="40" t="n"/>
      <c r="I414" s="39" t="n"/>
      <c r="J414" s="13">
        <f>IF(N(F414)&gt;0,G414/F414,"")</f>
        <v/>
      </c>
      <c r="K414" s="10">
        <f>IF(N(G414)&gt;0,E414/G414,"")</f>
        <v/>
      </c>
      <c r="L414" s="10">
        <f>IF(N(H414)&gt;0,E414/H414,"")</f>
        <v/>
      </c>
      <c r="M414" s="11">
        <f>IF(N(E414)&gt;0,I414/E414,"")</f>
        <v/>
      </c>
      <c r="N414" s="10">
        <f>IF(AND(E414="",I414=""),"",N(I414)*(1-COM-COM_SHOP)-N(E414)*(1+IMP_META))</f>
        <v/>
      </c>
      <c r="O414" s="37" t="n"/>
    </row>
    <row r="415">
      <c r="A415" s="36" t="n"/>
      <c r="B415" s="37" t="n"/>
      <c r="C415" s="37" t="n"/>
      <c r="D415" s="38">
        <f>IF(C415="","",IFERROR(INDEX(Anuncios!$B$6:$B$65,MATCH(C415,Anuncios!$A$6:$A$65,0)),"(no está en Anuncios)"))</f>
        <v/>
      </c>
      <c r="E415" s="39" t="n"/>
      <c r="F415" s="40" t="n"/>
      <c r="G415" s="40" t="n"/>
      <c r="H415" s="40" t="n"/>
      <c r="I415" s="39" t="n"/>
      <c r="J415" s="13">
        <f>IF(N(F415)&gt;0,G415/F415,"")</f>
        <v/>
      </c>
      <c r="K415" s="10">
        <f>IF(N(G415)&gt;0,E415/G415,"")</f>
        <v/>
      </c>
      <c r="L415" s="10">
        <f>IF(N(H415)&gt;0,E415/H415,"")</f>
        <v/>
      </c>
      <c r="M415" s="11">
        <f>IF(N(E415)&gt;0,I415/E415,"")</f>
        <v/>
      </c>
      <c r="N415" s="10">
        <f>IF(AND(E415="",I415=""),"",N(I415)*(1-COM-COM_SHOP)-N(E415)*(1+IMP_META))</f>
        <v/>
      </c>
      <c r="O415" s="37" t="n"/>
    </row>
    <row r="416">
      <c r="A416" s="36" t="n"/>
      <c r="B416" s="37" t="n"/>
      <c r="C416" s="37" t="n"/>
      <c r="D416" s="38">
        <f>IF(C416="","",IFERROR(INDEX(Anuncios!$B$6:$B$65,MATCH(C416,Anuncios!$A$6:$A$65,0)),"(no está en Anuncios)"))</f>
        <v/>
      </c>
      <c r="E416" s="39" t="n"/>
      <c r="F416" s="40" t="n"/>
      <c r="G416" s="40" t="n"/>
      <c r="H416" s="40" t="n"/>
      <c r="I416" s="39" t="n"/>
      <c r="J416" s="13">
        <f>IF(N(F416)&gt;0,G416/F416,"")</f>
        <v/>
      </c>
      <c r="K416" s="10">
        <f>IF(N(G416)&gt;0,E416/G416,"")</f>
        <v/>
      </c>
      <c r="L416" s="10">
        <f>IF(N(H416)&gt;0,E416/H416,"")</f>
        <v/>
      </c>
      <c r="M416" s="11">
        <f>IF(N(E416)&gt;0,I416/E416,"")</f>
        <v/>
      </c>
      <c r="N416" s="10">
        <f>IF(AND(E416="",I416=""),"",N(I416)*(1-COM-COM_SHOP)-N(E416)*(1+IMP_META))</f>
        <v/>
      </c>
      <c r="O416" s="37" t="n"/>
    </row>
    <row r="417">
      <c r="A417" s="36" t="n"/>
      <c r="B417" s="37" t="n"/>
      <c r="C417" s="37" t="n"/>
      <c r="D417" s="38">
        <f>IF(C417="","",IFERROR(INDEX(Anuncios!$B$6:$B$65,MATCH(C417,Anuncios!$A$6:$A$65,0)),"(no está en Anuncios)"))</f>
        <v/>
      </c>
      <c r="E417" s="39" t="n"/>
      <c r="F417" s="40" t="n"/>
      <c r="G417" s="40" t="n"/>
      <c r="H417" s="40" t="n"/>
      <c r="I417" s="39" t="n"/>
      <c r="J417" s="13">
        <f>IF(N(F417)&gt;0,G417/F417,"")</f>
        <v/>
      </c>
      <c r="K417" s="10">
        <f>IF(N(G417)&gt;0,E417/G417,"")</f>
        <v/>
      </c>
      <c r="L417" s="10">
        <f>IF(N(H417)&gt;0,E417/H417,"")</f>
        <v/>
      </c>
      <c r="M417" s="11">
        <f>IF(N(E417)&gt;0,I417/E417,"")</f>
        <v/>
      </c>
      <c r="N417" s="10">
        <f>IF(AND(E417="",I417=""),"",N(I417)*(1-COM-COM_SHOP)-N(E417)*(1+IMP_META))</f>
        <v/>
      </c>
      <c r="O417" s="37" t="n"/>
    </row>
    <row r="418">
      <c r="A418" s="36" t="n"/>
      <c r="B418" s="37" t="n"/>
      <c r="C418" s="37" t="n"/>
      <c r="D418" s="38">
        <f>IF(C418="","",IFERROR(INDEX(Anuncios!$B$6:$B$65,MATCH(C418,Anuncios!$A$6:$A$65,0)),"(no está en Anuncios)"))</f>
        <v/>
      </c>
      <c r="E418" s="39" t="n"/>
      <c r="F418" s="40" t="n"/>
      <c r="G418" s="40" t="n"/>
      <c r="H418" s="40" t="n"/>
      <c r="I418" s="39" t="n"/>
      <c r="J418" s="13">
        <f>IF(N(F418)&gt;0,G418/F418,"")</f>
        <v/>
      </c>
      <c r="K418" s="10">
        <f>IF(N(G418)&gt;0,E418/G418,"")</f>
        <v/>
      </c>
      <c r="L418" s="10">
        <f>IF(N(H418)&gt;0,E418/H418,"")</f>
        <v/>
      </c>
      <c r="M418" s="11">
        <f>IF(N(E418)&gt;0,I418/E418,"")</f>
        <v/>
      </c>
      <c r="N418" s="10">
        <f>IF(AND(E418="",I418=""),"",N(I418)*(1-COM-COM_SHOP)-N(E418)*(1+IMP_META))</f>
        <v/>
      </c>
      <c r="O418" s="37" t="n"/>
    </row>
    <row r="419">
      <c r="A419" s="36" t="n"/>
      <c r="B419" s="37" t="n"/>
      <c r="C419" s="37" t="n"/>
      <c r="D419" s="38">
        <f>IF(C419="","",IFERROR(INDEX(Anuncios!$B$6:$B$65,MATCH(C419,Anuncios!$A$6:$A$65,0)),"(no está en Anuncios)"))</f>
        <v/>
      </c>
      <c r="E419" s="39" t="n"/>
      <c r="F419" s="40" t="n"/>
      <c r="G419" s="40" t="n"/>
      <c r="H419" s="40" t="n"/>
      <c r="I419" s="39" t="n"/>
      <c r="J419" s="13">
        <f>IF(N(F419)&gt;0,G419/F419,"")</f>
        <v/>
      </c>
      <c r="K419" s="10">
        <f>IF(N(G419)&gt;0,E419/G419,"")</f>
        <v/>
      </c>
      <c r="L419" s="10">
        <f>IF(N(H419)&gt;0,E419/H419,"")</f>
        <v/>
      </c>
      <c r="M419" s="11">
        <f>IF(N(E419)&gt;0,I419/E419,"")</f>
        <v/>
      </c>
      <c r="N419" s="10">
        <f>IF(AND(E419="",I419=""),"",N(I419)*(1-COM-COM_SHOP)-N(E419)*(1+IMP_META))</f>
        <v/>
      </c>
      <c r="O419" s="37" t="n"/>
    </row>
    <row r="420">
      <c r="A420" s="36" t="n"/>
      <c r="B420" s="37" t="n"/>
      <c r="C420" s="37" t="n"/>
      <c r="D420" s="38">
        <f>IF(C420="","",IFERROR(INDEX(Anuncios!$B$6:$B$65,MATCH(C420,Anuncios!$A$6:$A$65,0)),"(no está en Anuncios)"))</f>
        <v/>
      </c>
      <c r="E420" s="39" t="n"/>
      <c r="F420" s="40" t="n"/>
      <c r="G420" s="40" t="n"/>
      <c r="H420" s="40" t="n"/>
      <c r="I420" s="39" t="n"/>
      <c r="J420" s="13">
        <f>IF(N(F420)&gt;0,G420/F420,"")</f>
        <v/>
      </c>
      <c r="K420" s="10">
        <f>IF(N(G420)&gt;0,E420/G420,"")</f>
        <v/>
      </c>
      <c r="L420" s="10">
        <f>IF(N(H420)&gt;0,E420/H420,"")</f>
        <v/>
      </c>
      <c r="M420" s="11">
        <f>IF(N(E420)&gt;0,I420/E420,"")</f>
        <v/>
      </c>
      <c r="N420" s="10">
        <f>IF(AND(E420="",I420=""),"",N(I420)*(1-COM-COM_SHOP)-N(E420)*(1+IMP_META))</f>
        <v/>
      </c>
      <c r="O420" s="37" t="n"/>
    </row>
    <row r="421">
      <c r="A421" s="36" t="n"/>
      <c r="B421" s="37" t="n"/>
      <c r="C421" s="37" t="n"/>
      <c r="D421" s="38">
        <f>IF(C421="","",IFERROR(INDEX(Anuncios!$B$6:$B$65,MATCH(C421,Anuncios!$A$6:$A$65,0)),"(no está en Anuncios)"))</f>
        <v/>
      </c>
      <c r="E421" s="39" t="n"/>
      <c r="F421" s="40" t="n"/>
      <c r="G421" s="40" t="n"/>
      <c r="H421" s="40" t="n"/>
      <c r="I421" s="39" t="n"/>
      <c r="J421" s="13">
        <f>IF(N(F421)&gt;0,G421/F421,"")</f>
        <v/>
      </c>
      <c r="K421" s="10">
        <f>IF(N(G421)&gt;0,E421/G421,"")</f>
        <v/>
      </c>
      <c r="L421" s="10">
        <f>IF(N(H421)&gt;0,E421/H421,"")</f>
        <v/>
      </c>
      <c r="M421" s="11">
        <f>IF(N(E421)&gt;0,I421/E421,"")</f>
        <v/>
      </c>
      <c r="N421" s="10">
        <f>IF(AND(E421="",I421=""),"",N(I421)*(1-COM-COM_SHOP)-N(E421)*(1+IMP_META))</f>
        <v/>
      </c>
      <c r="O421" s="37" t="n"/>
    </row>
    <row r="422">
      <c r="A422" s="36" t="n"/>
      <c r="B422" s="37" t="n"/>
      <c r="C422" s="37" t="n"/>
      <c r="D422" s="38">
        <f>IF(C422="","",IFERROR(INDEX(Anuncios!$B$6:$B$65,MATCH(C422,Anuncios!$A$6:$A$65,0)),"(no está en Anuncios)"))</f>
        <v/>
      </c>
      <c r="E422" s="39" t="n"/>
      <c r="F422" s="40" t="n"/>
      <c r="G422" s="40" t="n"/>
      <c r="H422" s="40" t="n"/>
      <c r="I422" s="39" t="n"/>
      <c r="J422" s="13">
        <f>IF(N(F422)&gt;0,G422/F422,"")</f>
        <v/>
      </c>
      <c r="K422" s="10">
        <f>IF(N(G422)&gt;0,E422/G422,"")</f>
        <v/>
      </c>
      <c r="L422" s="10">
        <f>IF(N(H422)&gt;0,E422/H422,"")</f>
        <v/>
      </c>
      <c r="M422" s="11">
        <f>IF(N(E422)&gt;0,I422/E422,"")</f>
        <v/>
      </c>
      <c r="N422" s="10">
        <f>IF(AND(E422="",I422=""),"",N(I422)*(1-COM-COM_SHOP)-N(E422)*(1+IMP_META))</f>
        <v/>
      </c>
      <c r="O422" s="37" t="n"/>
    </row>
    <row r="423">
      <c r="A423" s="36" t="n"/>
      <c r="B423" s="37" t="n"/>
      <c r="C423" s="37" t="n"/>
      <c r="D423" s="38">
        <f>IF(C423="","",IFERROR(INDEX(Anuncios!$B$6:$B$65,MATCH(C423,Anuncios!$A$6:$A$65,0)),"(no está en Anuncios)"))</f>
        <v/>
      </c>
      <c r="E423" s="39" t="n"/>
      <c r="F423" s="40" t="n"/>
      <c r="G423" s="40" t="n"/>
      <c r="H423" s="40" t="n"/>
      <c r="I423" s="39" t="n"/>
      <c r="J423" s="13">
        <f>IF(N(F423)&gt;0,G423/F423,"")</f>
        <v/>
      </c>
      <c r="K423" s="10">
        <f>IF(N(G423)&gt;0,E423/G423,"")</f>
        <v/>
      </c>
      <c r="L423" s="10">
        <f>IF(N(H423)&gt;0,E423/H423,"")</f>
        <v/>
      </c>
      <c r="M423" s="11">
        <f>IF(N(E423)&gt;0,I423/E423,"")</f>
        <v/>
      </c>
      <c r="N423" s="10">
        <f>IF(AND(E423="",I423=""),"",N(I423)*(1-COM-COM_SHOP)-N(E423)*(1+IMP_META))</f>
        <v/>
      </c>
      <c r="O423" s="37" t="n"/>
    </row>
    <row r="424">
      <c r="A424" s="36" t="n"/>
      <c r="B424" s="37" t="n"/>
      <c r="C424" s="37" t="n"/>
      <c r="D424" s="38">
        <f>IF(C424="","",IFERROR(INDEX(Anuncios!$B$6:$B$65,MATCH(C424,Anuncios!$A$6:$A$65,0)),"(no está en Anuncios)"))</f>
        <v/>
      </c>
      <c r="E424" s="39" t="n"/>
      <c r="F424" s="40" t="n"/>
      <c r="G424" s="40" t="n"/>
      <c r="H424" s="40" t="n"/>
      <c r="I424" s="39" t="n"/>
      <c r="J424" s="13">
        <f>IF(N(F424)&gt;0,G424/F424,"")</f>
        <v/>
      </c>
      <c r="K424" s="10">
        <f>IF(N(G424)&gt;0,E424/G424,"")</f>
        <v/>
      </c>
      <c r="L424" s="10">
        <f>IF(N(H424)&gt;0,E424/H424,"")</f>
        <v/>
      </c>
      <c r="M424" s="11">
        <f>IF(N(E424)&gt;0,I424/E424,"")</f>
        <v/>
      </c>
      <c r="N424" s="10">
        <f>IF(AND(E424="",I424=""),"",N(I424)*(1-COM-COM_SHOP)-N(E424)*(1+IMP_META))</f>
        <v/>
      </c>
      <c r="O424" s="37" t="n"/>
    </row>
    <row r="425">
      <c r="A425" s="36" t="n"/>
      <c r="B425" s="37" t="n"/>
      <c r="C425" s="37" t="n"/>
      <c r="D425" s="38">
        <f>IF(C425="","",IFERROR(INDEX(Anuncios!$B$6:$B$65,MATCH(C425,Anuncios!$A$6:$A$65,0)),"(no está en Anuncios)"))</f>
        <v/>
      </c>
      <c r="E425" s="39" t="n"/>
      <c r="F425" s="40" t="n"/>
      <c r="G425" s="40" t="n"/>
      <c r="H425" s="40" t="n"/>
      <c r="I425" s="39" t="n"/>
      <c r="J425" s="13">
        <f>IF(N(F425)&gt;0,G425/F425,"")</f>
        <v/>
      </c>
      <c r="K425" s="10">
        <f>IF(N(G425)&gt;0,E425/G425,"")</f>
        <v/>
      </c>
      <c r="L425" s="10">
        <f>IF(N(H425)&gt;0,E425/H425,"")</f>
        <v/>
      </c>
      <c r="M425" s="11">
        <f>IF(N(E425)&gt;0,I425/E425,"")</f>
        <v/>
      </c>
      <c r="N425" s="10">
        <f>IF(AND(E425="",I425=""),"",N(I425)*(1-COM-COM_SHOP)-N(E425)*(1+IMP_META))</f>
        <v/>
      </c>
      <c r="O425" s="37" t="n"/>
    </row>
    <row r="426">
      <c r="A426" s="36" t="n"/>
      <c r="B426" s="37" t="n"/>
      <c r="C426" s="37" t="n"/>
      <c r="D426" s="38">
        <f>IF(C426="","",IFERROR(INDEX(Anuncios!$B$6:$B$65,MATCH(C426,Anuncios!$A$6:$A$65,0)),"(no está en Anuncios)"))</f>
        <v/>
      </c>
      <c r="E426" s="39" t="n"/>
      <c r="F426" s="40" t="n"/>
      <c r="G426" s="40" t="n"/>
      <c r="H426" s="40" t="n"/>
      <c r="I426" s="39" t="n"/>
      <c r="J426" s="13">
        <f>IF(N(F426)&gt;0,G426/F426,"")</f>
        <v/>
      </c>
      <c r="K426" s="10">
        <f>IF(N(G426)&gt;0,E426/G426,"")</f>
        <v/>
      </c>
      <c r="L426" s="10">
        <f>IF(N(H426)&gt;0,E426/H426,"")</f>
        <v/>
      </c>
      <c r="M426" s="11">
        <f>IF(N(E426)&gt;0,I426/E426,"")</f>
        <v/>
      </c>
      <c r="N426" s="10">
        <f>IF(AND(E426="",I426=""),"",N(I426)*(1-COM-COM_SHOP)-N(E426)*(1+IMP_META))</f>
        <v/>
      </c>
      <c r="O426" s="37" t="n"/>
    </row>
    <row r="427">
      <c r="A427" s="36" t="n"/>
      <c r="B427" s="37" t="n"/>
      <c r="C427" s="37" t="n"/>
      <c r="D427" s="38">
        <f>IF(C427="","",IFERROR(INDEX(Anuncios!$B$6:$B$65,MATCH(C427,Anuncios!$A$6:$A$65,0)),"(no está en Anuncios)"))</f>
        <v/>
      </c>
      <c r="E427" s="39" t="n"/>
      <c r="F427" s="40" t="n"/>
      <c r="G427" s="40" t="n"/>
      <c r="H427" s="40" t="n"/>
      <c r="I427" s="39" t="n"/>
      <c r="J427" s="13">
        <f>IF(N(F427)&gt;0,G427/F427,"")</f>
        <v/>
      </c>
      <c r="K427" s="10">
        <f>IF(N(G427)&gt;0,E427/G427,"")</f>
        <v/>
      </c>
      <c r="L427" s="10">
        <f>IF(N(H427)&gt;0,E427/H427,"")</f>
        <v/>
      </c>
      <c r="M427" s="11">
        <f>IF(N(E427)&gt;0,I427/E427,"")</f>
        <v/>
      </c>
      <c r="N427" s="10">
        <f>IF(AND(E427="",I427=""),"",N(I427)*(1-COM-COM_SHOP)-N(E427)*(1+IMP_META))</f>
        <v/>
      </c>
      <c r="O427" s="37" t="n"/>
    </row>
    <row r="428">
      <c r="A428" s="36" t="n"/>
      <c r="B428" s="37" t="n"/>
      <c r="C428" s="37" t="n"/>
      <c r="D428" s="38">
        <f>IF(C428="","",IFERROR(INDEX(Anuncios!$B$6:$B$65,MATCH(C428,Anuncios!$A$6:$A$65,0)),"(no está en Anuncios)"))</f>
        <v/>
      </c>
      <c r="E428" s="39" t="n"/>
      <c r="F428" s="40" t="n"/>
      <c r="G428" s="40" t="n"/>
      <c r="H428" s="40" t="n"/>
      <c r="I428" s="39" t="n"/>
      <c r="J428" s="13">
        <f>IF(N(F428)&gt;0,G428/F428,"")</f>
        <v/>
      </c>
      <c r="K428" s="10">
        <f>IF(N(G428)&gt;0,E428/G428,"")</f>
        <v/>
      </c>
      <c r="L428" s="10">
        <f>IF(N(H428)&gt;0,E428/H428,"")</f>
        <v/>
      </c>
      <c r="M428" s="11">
        <f>IF(N(E428)&gt;0,I428/E428,"")</f>
        <v/>
      </c>
      <c r="N428" s="10">
        <f>IF(AND(E428="",I428=""),"",N(I428)*(1-COM-COM_SHOP)-N(E428)*(1+IMP_META))</f>
        <v/>
      </c>
      <c r="O428" s="37" t="n"/>
    </row>
    <row r="429">
      <c r="A429" s="36" t="n"/>
      <c r="B429" s="37" t="n"/>
      <c r="C429" s="37" t="n"/>
      <c r="D429" s="38">
        <f>IF(C429="","",IFERROR(INDEX(Anuncios!$B$6:$B$65,MATCH(C429,Anuncios!$A$6:$A$65,0)),"(no está en Anuncios)"))</f>
        <v/>
      </c>
      <c r="E429" s="39" t="n"/>
      <c r="F429" s="40" t="n"/>
      <c r="G429" s="40" t="n"/>
      <c r="H429" s="40" t="n"/>
      <c r="I429" s="39" t="n"/>
      <c r="J429" s="13">
        <f>IF(N(F429)&gt;0,G429/F429,"")</f>
        <v/>
      </c>
      <c r="K429" s="10">
        <f>IF(N(G429)&gt;0,E429/G429,"")</f>
        <v/>
      </c>
      <c r="L429" s="10">
        <f>IF(N(H429)&gt;0,E429/H429,"")</f>
        <v/>
      </c>
      <c r="M429" s="11">
        <f>IF(N(E429)&gt;0,I429/E429,"")</f>
        <v/>
      </c>
      <c r="N429" s="10">
        <f>IF(AND(E429="",I429=""),"",N(I429)*(1-COM-COM_SHOP)-N(E429)*(1+IMP_META))</f>
        <v/>
      </c>
      <c r="O429" s="37" t="n"/>
    </row>
    <row r="430">
      <c r="A430" s="36" t="n"/>
      <c r="B430" s="37" t="n"/>
      <c r="C430" s="37" t="n"/>
      <c r="D430" s="38">
        <f>IF(C430="","",IFERROR(INDEX(Anuncios!$B$6:$B$65,MATCH(C430,Anuncios!$A$6:$A$65,0)),"(no está en Anuncios)"))</f>
        <v/>
      </c>
      <c r="E430" s="39" t="n"/>
      <c r="F430" s="40" t="n"/>
      <c r="G430" s="40" t="n"/>
      <c r="H430" s="40" t="n"/>
      <c r="I430" s="39" t="n"/>
      <c r="J430" s="13">
        <f>IF(N(F430)&gt;0,G430/F430,"")</f>
        <v/>
      </c>
      <c r="K430" s="10">
        <f>IF(N(G430)&gt;0,E430/G430,"")</f>
        <v/>
      </c>
      <c r="L430" s="10">
        <f>IF(N(H430)&gt;0,E430/H430,"")</f>
        <v/>
      </c>
      <c r="M430" s="11">
        <f>IF(N(E430)&gt;0,I430/E430,"")</f>
        <v/>
      </c>
      <c r="N430" s="10">
        <f>IF(AND(E430="",I430=""),"",N(I430)*(1-COM-COM_SHOP)-N(E430)*(1+IMP_META))</f>
        <v/>
      </c>
      <c r="O430" s="37" t="n"/>
    </row>
    <row r="431">
      <c r="A431" s="36" t="n"/>
      <c r="B431" s="37" t="n"/>
      <c r="C431" s="37" t="n"/>
      <c r="D431" s="38">
        <f>IF(C431="","",IFERROR(INDEX(Anuncios!$B$6:$B$65,MATCH(C431,Anuncios!$A$6:$A$65,0)),"(no está en Anuncios)"))</f>
        <v/>
      </c>
      <c r="E431" s="39" t="n"/>
      <c r="F431" s="40" t="n"/>
      <c r="G431" s="40" t="n"/>
      <c r="H431" s="40" t="n"/>
      <c r="I431" s="39" t="n"/>
      <c r="J431" s="13">
        <f>IF(N(F431)&gt;0,G431/F431,"")</f>
        <v/>
      </c>
      <c r="K431" s="10">
        <f>IF(N(G431)&gt;0,E431/G431,"")</f>
        <v/>
      </c>
      <c r="L431" s="10">
        <f>IF(N(H431)&gt;0,E431/H431,"")</f>
        <v/>
      </c>
      <c r="M431" s="11">
        <f>IF(N(E431)&gt;0,I431/E431,"")</f>
        <v/>
      </c>
      <c r="N431" s="10">
        <f>IF(AND(E431="",I431=""),"",N(I431)*(1-COM-COM_SHOP)-N(E431)*(1+IMP_META))</f>
        <v/>
      </c>
      <c r="O431" s="37" t="n"/>
    </row>
    <row r="432">
      <c r="A432" s="36" t="n"/>
      <c r="B432" s="37" t="n"/>
      <c r="C432" s="37" t="n"/>
      <c r="D432" s="38">
        <f>IF(C432="","",IFERROR(INDEX(Anuncios!$B$6:$B$65,MATCH(C432,Anuncios!$A$6:$A$65,0)),"(no está en Anuncios)"))</f>
        <v/>
      </c>
      <c r="E432" s="39" t="n"/>
      <c r="F432" s="40" t="n"/>
      <c r="G432" s="40" t="n"/>
      <c r="H432" s="40" t="n"/>
      <c r="I432" s="39" t="n"/>
      <c r="J432" s="13">
        <f>IF(N(F432)&gt;0,G432/F432,"")</f>
        <v/>
      </c>
      <c r="K432" s="10">
        <f>IF(N(G432)&gt;0,E432/G432,"")</f>
        <v/>
      </c>
      <c r="L432" s="10">
        <f>IF(N(H432)&gt;0,E432/H432,"")</f>
        <v/>
      </c>
      <c r="M432" s="11">
        <f>IF(N(E432)&gt;0,I432/E432,"")</f>
        <v/>
      </c>
      <c r="N432" s="10">
        <f>IF(AND(E432="",I432=""),"",N(I432)*(1-COM-COM_SHOP)-N(E432)*(1+IMP_META))</f>
        <v/>
      </c>
      <c r="O432" s="37" t="n"/>
    </row>
    <row r="433">
      <c r="A433" s="36" t="n"/>
      <c r="B433" s="37" t="n"/>
      <c r="C433" s="37" t="n"/>
      <c r="D433" s="38">
        <f>IF(C433="","",IFERROR(INDEX(Anuncios!$B$6:$B$65,MATCH(C433,Anuncios!$A$6:$A$65,0)),"(no está en Anuncios)"))</f>
        <v/>
      </c>
      <c r="E433" s="39" t="n"/>
      <c r="F433" s="40" t="n"/>
      <c r="G433" s="40" t="n"/>
      <c r="H433" s="40" t="n"/>
      <c r="I433" s="39" t="n"/>
      <c r="J433" s="13">
        <f>IF(N(F433)&gt;0,G433/F433,"")</f>
        <v/>
      </c>
      <c r="K433" s="10">
        <f>IF(N(G433)&gt;0,E433/G433,"")</f>
        <v/>
      </c>
      <c r="L433" s="10">
        <f>IF(N(H433)&gt;0,E433/H433,"")</f>
        <v/>
      </c>
      <c r="M433" s="11">
        <f>IF(N(E433)&gt;0,I433/E433,"")</f>
        <v/>
      </c>
      <c r="N433" s="10">
        <f>IF(AND(E433="",I433=""),"",N(I433)*(1-COM-COM_SHOP)-N(E433)*(1+IMP_META))</f>
        <v/>
      </c>
      <c r="O433" s="37" t="n"/>
    </row>
    <row r="434">
      <c r="A434" s="36" t="n"/>
      <c r="B434" s="37" t="n"/>
      <c r="C434" s="37" t="n"/>
      <c r="D434" s="38">
        <f>IF(C434="","",IFERROR(INDEX(Anuncios!$B$6:$B$65,MATCH(C434,Anuncios!$A$6:$A$65,0)),"(no está en Anuncios)"))</f>
        <v/>
      </c>
      <c r="E434" s="39" t="n"/>
      <c r="F434" s="40" t="n"/>
      <c r="G434" s="40" t="n"/>
      <c r="H434" s="40" t="n"/>
      <c r="I434" s="39" t="n"/>
      <c r="J434" s="13">
        <f>IF(N(F434)&gt;0,G434/F434,"")</f>
        <v/>
      </c>
      <c r="K434" s="10">
        <f>IF(N(G434)&gt;0,E434/G434,"")</f>
        <v/>
      </c>
      <c r="L434" s="10">
        <f>IF(N(H434)&gt;0,E434/H434,"")</f>
        <v/>
      </c>
      <c r="M434" s="11">
        <f>IF(N(E434)&gt;0,I434/E434,"")</f>
        <v/>
      </c>
      <c r="N434" s="10">
        <f>IF(AND(E434="",I434=""),"",N(I434)*(1-COM-COM_SHOP)-N(E434)*(1+IMP_META))</f>
        <v/>
      </c>
      <c r="O434" s="37" t="n"/>
    </row>
    <row r="435">
      <c r="A435" s="36" t="n"/>
      <c r="B435" s="37" t="n"/>
      <c r="C435" s="37" t="n"/>
      <c r="D435" s="38">
        <f>IF(C435="","",IFERROR(INDEX(Anuncios!$B$6:$B$65,MATCH(C435,Anuncios!$A$6:$A$65,0)),"(no está en Anuncios)"))</f>
        <v/>
      </c>
      <c r="E435" s="39" t="n"/>
      <c r="F435" s="40" t="n"/>
      <c r="G435" s="40" t="n"/>
      <c r="H435" s="40" t="n"/>
      <c r="I435" s="39" t="n"/>
      <c r="J435" s="13">
        <f>IF(N(F435)&gt;0,G435/F435,"")</f>
        <v/>
      </c>
      <c r="K435" s="10">
        <f>IF(N(G435)&gt;0,E435/G435,"")</f>
        <v/>
      </c>
      <c r="L435" s="10">
        <f>IF(N(H435)&gt;0,E435/H435,"")</f>
        <v/>
      </c>
      <c r="M435" s="11">
        <f>IF(N(E435)&gt;0,I435/E435,"")</f>
        <v/>
      </c>
      <c r="N435" s="10">
        <f>IF(AND(E435="",I435=""),"",N(I435)*(1-COM-COM_SHOP)-N(E435)*(1+IMP_META))</f>
        <v/>
      </c>
      <c r="O435" s="37" t="n"/>
    </row>
    <row r="436">
      <c r="A436" s="36" t="n"/>
      <c r="B436" s="37" t="n"/>
      <c r="C436" s="37" t="n"/>
      <c r="D436" s="38">
        <f>IF(C436="","",IFERROR(INDEX(Anuncios!$B$6:$B$65,MATCH(C436,Anuncios!$A$6:$A$65,0)),"(no está en Anuncios)"))</f>
        <v/>
      </c>
      <c r="E436" s="39" t="n"/>
      <c r="F436" s="40" t="n"/>
      <c r="G436" s="40" t="n"/>
      <c r="H436" s="40" t="n"/>
      <c r="I436" s="39" t="n"/>
      <c r="J436" s="13">
        <f>IF(N(F436)&gt;0,G436/F436,"")</f>
        <v/>
      </c>
      <c r="K436" s="10">
        <f>IF(N(G436)&gt;0,E436/G436,"")</f>
        <v/>
      </c>
      <c r="L436" s="10">
        <f>IF(N(H436)&gt;0,E436/H436,"")</f>
        <v/>
      </c>
      <c r="M436" s="11">
        <f>IF(N(E436)&gt;0,I436/E436,"")</f>
        <v/>
      </c>
      <c r="N436" s="10">
        <f>IF(AND(E436="",I436=""),"",N(I436)*(1-COM-COM_SHOP)-N(E436)*(1+IMP_META))</f>
        <v/>
      </c>
      <c r="O436" s="37" t="n"/>
    </row>
    <row r="437">
      <c r="A437" s="36" t="n"/>
      <c r="B437" s="37" t="n"/>
      <c r="C437" s="37" t="n"/>
      <c r="D437" s="38">
        <f>IF(C437="","",IFERROR(INDEX(Anuncios!$B$6:$B$65,MATCH(C437,Anuncios!$A$6:$A$65,0)),"(no está en Anuncios)"))</f>
        <v/>
      </c>
      <c r="E437" s="39" t="n"/>
      <c r="F437" s="40" t="n"/>
      <c r="G437" s="40" t="n"/>
      <c r="H437" s="40" t="n"/>
      <c r="I437" s="39" t="n"/>
      <c r="J437" s="13">
        <f>IF(N(F437)&gt;0,G437/F437,"")</f>
        <v/>
      </c>
      <c r="K437" s="10">
        <f>IF(N(G437)&gt;0,E437/G437,"")</f>
        <v/>
      </c>
      <c r="L437" s="10">
        <f>IF(N(H437)&gt;0,E437/H437,"")</f>
        <v/>
      </c>
      <c r="M437" s="11">
        <f>IF(N(E437)&gt;0,I437/E437,"")</f>
        <v/>
      </c>
      <c r="N437" s="10">
        <f>IF(AND(E437="",I437=""),"",N(I437)*(1-COM-COM_SHOP)-N(E437)*(1+IMP_META))</f>
        <v/>
      </c>
      <c r="O437" s="37" t="n"/>
    </row>
    <row r="438">
      <c r="A438" s="36" t="n"/>
      <c r="B438" s="37" t="n"/>
      <c r="C438" s="37" t="n"/>
      <c r="D438" s="38">
        <f>IF(C438="","",IFERROR(INDEX(Anuncios!$B$6:$B$65,MATCH(C438,Anuncios!$A$6:$A$65,0)),"(no está en Anuncios)"))</f>
        <v/>
      </c>
      <c r="E438" s="39" t="n"/>
      <c r="F438" s="40" t="n"/>
      <c r="G438" s="40" t="n"/>
      <c r="H438" s="40" t="n"/>
      <c r="I438" s="39" t="n"/>
      <c r="J438" s="13">
        <f>IF(N(F438)&gt;0,G438/F438,"")</f>
        <v/>
      </c>
      <c r="K438" s="10">
        <f>IF(N(G438)&gt;0,E438/G438,"")</f>
        <v/>
      </c>
      <c r="L438" s="10">
        <f>IF(N(H438)&gt;0,E438/H438,"")</f>
        <v/>
      </c>
      <c r="M438" s="11">
        <f>IF(N(E438)&gt;0,I438/E438,"")</f>
        <v/>
      </c>
      <c r="N438" s="10">
        <f>IF(AND(E438="",I438=""),"",N(I438)*(1-COM-COM_SHOP)-N(E438)*(1+IMP_META))</f>
        <v/>
      </c>
      <c r="O438" s="37" t="n"/>
    </row>
    <row r="439">
      <c r="A439" s="36" t="n"/>
      <c r="B439" s="37" t="n"/>
      <c r="C439" s="37" t="n"/>
      <c r="D439" s="38">
        <f>IF(C439="","",IFERROR(INDEX(Anuncios!$B$6:$B$65,MATCH(C439,Anuncios!$A$6:$A$65,0)),"(no está en Anuncios)"))</f>
        <v/>
      </c>
      <c r="E439" s="39" t="n"/>
      <c r="F439" s="40" t="n"/>
      <c r="G439" s="40" t="n"/>
      <c r="H439" s="40" t="n"/>
      <c r="I439" s="39" t="n"/>
      <c r="J439" s="13">
        <f>IF(N(F439)&gt;0,G439/F439,"")</f>
        <v/>
      </c>
      <c r="K439" s="10">
        <f>IF(N(G439)&gt;0,E439/G439,"")</f>
        <v/>
      </c>
      <c r="L439" s="10">
        <f>IF(N(H439)&gt;0,E439/H439,"")</f>
        <v/>
      </c>
      <c r="M439" s="11">
        <f>IF(N(E439)&gt;0,I439/E439,"")</f>
        <v/>
      </c>
      <c r="N439" s="10">
        <f>IF(AND(E439="",I439=""),"",N(I439)*(1-COM-COM_SHOP)-N(E439)*(1+IMP_META))</f>
        <v/>
      </c>
      <c r="O439" s="37" t="n"/>
    </row>
    <row r="440">
      <c r="A440" s="36" t="n"/>
      <c r="B440" s="37" t="n"/>
      <c r="C440" s="37" t="n"/>
      <c r="D440" s="38">
        <f>IF(C440="","",IFERROR(INDEX(Anuncios!$B$6:$B$65,MATCH(C440,Anuncios!$A$6:$A$65,0)),"(no está en Anuncios)"))</f>
        <v/>
      </c>
      <c r="E440" s="39" t="n"/>
      <c r="F440" s="40" t="n"/>
      <c r="G440" s="40" t="n"/>
      <c r="H440" s="40" t="n"/>
      <c r="I440" s="39" t="n"/>
      <c r="J440" s="13">
        <f>IF(N(F440)&gt;0,G440/F440,"")</f>
        <v/>
      </c>
      <c r="K440" s="10">
        <f>IF(N(G440)&gt;0,E440/G440,"")</f>
        <v/>
      </c>
      <c r="L440" s="10">
        <f>IF(N(H440)&gt;0,E440/H440,"")</f>
        <v/>
      </c>
      <c r="M440" s="11">
        <f>IF(N(E440)&gt;0,I440/E440,"")</f>
        <v/>
      </c>
      <c r="N440" s="10">
        <f>IF(AND(E440="",I440=""),"",N(I440)*(1-COM-COM_SHOP)-N(E440)*(1+IMP_META))</f>
        <v/>
      </c>
      <c r="O440" s="37" t="n"/>
    </row>
    <row r="441">
      <c r="A441" s="36" t="n"/>
      <c r="B441" s="37" t="n"/>
      <c r="C441" s="37" t="n"/>
      <c r="D441" s="38">
        <f>IF(C441="","",IFERROR(INDEX(Anuncios!$B$6:$B$65,MATCH(C441,Anuncios!$A$6:$A$65,0)),"(no está en Anuncios)"))</f>
        <v/>
      </c>
      <c r="E441" s="39" t="n"/>
      <c r="F441" s="40" t="n"/>
      <c r="G441" s="40" t="n"/>
      <c r="H441" s="40" t="n"/>
      <c r="I441" s="39" t="n"/>
      <c r="J441" s="13">
        <f>IF(N(F441)&gt;0,G441/F441,"")</f>
        <v/>
      </c>
      <c r="K441" s="10">
        <f>IF(N(G441)&gt;0,E441/G441,"")</f>
        <v/>
      </c>
      <c r="L441" s="10">
        <f>IF(N(H441)&gt;0,E441/H441,"")</f>
        <v/>
      </c>
      <c r="M441" s="11">
        <f>IF(N(E441)&gt;0,I441/E441,"")</f>
        <v/>
      </c>
      <c r="N441" s="10">
        <f>IF(AND(E441="",I441=""),"",N(I441)*(1-COM-COM_SHOP)-N(E441)*(1+IMP_META))</f>
        <v/>
      </c>
      <c r="O441" s="37" t="n"/>
    </row>
    <row r="442">
      <c r="A442" s="36" t="n"/>
      <c r="B442" s="37" t="n"/>
      <c r="C442" s="37" t="n"/>
      <c r="D442" s="38">
        <f>IF(C442="","",IFERROR(INDEX(Anuncios!$B$6:$B$65,MATCH(C442,Anuncios!$A$6:$A$65,0)),"(no está en Anuncios)"))</f>
        <v/>
      </c>
      <c r="E442" s="39" t="n"/>
      <c r="F442" s="40" t="n"/>
      <c r="G442" s="40" t="n"/>
      <c r="H442" s="40" t="n"/>
      <c r="I442" s="39" t="n"/>
      <c r="J442" s="13">
        <f>IF(N(F442)&gt;0,G442/F442,"")</f>
        <v/>
      </c>
      <c r="K442" s="10">
        <f>IF(N(G442)&gt;0,E442/G442,"")</f>
        <v/>
      </c>
      <c r="L442" s="10">
        <f>IF(N(H442)&gt;0,E442/H442,"")</f>
        <v/>
      </c>
      <c r="M442" s="11">
        <f>IF(N(E442)&gt;0,I442/E442,"")</f>
        <v/>
      </c>
      <c r="N442" s="10">
        <f>IF(AND(E442="",I442=""),"",N(I442)*(1-COM-COM_SHOP)-N(E442)*(1+IMP_META))</f>
        <v/>
      </c>
      <c r="O442" s="37" t="n"/>
    </row>
    <row r="443">
      <c r="A443" s="36" t="n"/>
      <c r="B443" s="37" t="n"/>
      <c r="C443" s="37" t="n"/>
      <c r="D443" s="38">
        <f>IF(C443="","",IFERROR(INDEX(Anuncios!$B$6:$B$65,MATCH(C443,Anuncios!$A$6:$A$65,0)),"(no está en Anuncios)"))</f>
        <v/>
      </c>
      <c r="E443" s="39" t="n"/>
      <c r="F443" s="40" t="n"/>
      <c r="G443" s="40" t="n"/>
      <c r="H443" s="40" t="n"/>
      <c r="I443" s="39" t="n"/>
      <c r="J443" s="13">
        <f>IF(N(F443)&gt;0,G443/F443,"")</f>
        <v/>
      </c>
      <c r="K443" s="10">
        <f>IF(N(G443)&gt;0,E443/G443,"")</f>
        <v/>
      </c>
      <c r="L443" s="10">
        <f>IF(N(H443)&gt;0,E443/H443,"")</f>
        <v/>
      </c>
      <c r="M443" s="11">
        <f>IF(N(E443)&gt;0,I443/E443,"")</f>
        <v/>
      </c>
      <c r="N443" s="10">
        <f>IF(AND(E443="",I443=""),"",N(I443)*(1-COM-COM_SHOP)-N(E443)*(1+IMP_META))</f>
        <v/>
      </c>
      <c r="O443" s="37" t="n"/>
    </row>
    <row r="444">
      <c r="A444" s="36" t="n"/>
      <c r="B444" s="37" t="n"/>
      <c r="C444" s="37" t="n"/>
      <c r="D444" s="38">
        <f>IF(C444="","",IFERROR(INDEX(Anuncios!$B$6:$B$65,MATCH(C444,Anuncios!$A$6:$A$65,0)),"(no está en Anuncios)"))</f>
        <v/>
      </c>
      <c r="E444" s="39" t="n"/>
      <c r="F444" s="40" t="n"/>
      <c r="G444" s="40" t="n"/>
      <c r="H444" s="40" t="n"/>
      <c r="I444" s="39" t="n"/>
      <c r="J444" s="13">
        <f>IF(N(F444)&gt;0,G444/F444,"")</f>
        <v/>
      </c>
      <c r="K444" s="10">
        <f>IF(N(G444)&gt;0,E444/G444,"")</f>
        <v/>
      </c>
      <c r="L444" s="10">
        <f>IF(N(H444)&gt;0,E444/H444,"")</f>
        <v/>
      </c>
      <c r="M444" s="11">
        <f>IF(N(E444)&gt;0,I444/E444,"")</f>
        <v/>
      </c>
      <c r="N444" s="10">
        <f>IF(AND(E444="",I444=""),"",N(I444)*(1-COM-COM_SHOP)-N(E444)*(1+IMP_META))</f>
        <v/>
      </c>
      <c r="O444" s="37" t="n"/>
    </row>
    <row r="445">
      <c r="A445" s="36" t="n"/>
      <c r="B445" s="37" t="n"/>
      <c r="C445" s="37" t="n"/>
      <c r="D445" s="38">
        <f>IF(C445="","",IFERROR(INDEX(Anuncios!$B$6:$B$65,MATCH(C445,Anuncios!$A$6:$A$65,0)),"(no está en Anuncios)"))</f>
        <v/>
      </c>
      <c r="E445" s="39" t="n"/>
      <c r="F445" s="40" t="n"/>
      <c r="G445" s="40" t="n"/>
      <c r="H445" s="40" t="n"/>
      <c r="I445" s="39" t="n"/>
      <c r="J445" s="13">
        <f>IF(N(F445)&gt;0,G445/F445,"")</f>
        <v/>
      </c>
      <c r="K445" s="10">
        <f>IF(N(G445)&gt;0,E445/G445,"")</f>
        <v/>
      </c>
      <c r="L445" s="10">
        <f>IF(N(H445)&gt;0,E445/H445,"")</f>
        <v/>
      </c>
      <c r="M445" s="11">
        <f>IF(N(E445)&gt;0,I445/E445,"")</f>
        <v/>
      </c>
      <c r="N445" s="10">
        <f>IF(AND(E445="",I445=""),"",N(I445)*(1-COM-COM_SHOP)-N(E445)*(1+IMP_META))</f>
        <v/>
      </c>
      <c r="O445" s="37" t="n"/>
    </row>
    <row r="446">
      <c r="A446" s="36" t="n"/>
      <c r="B446" s="37" t="n"/>
      <c r="C446" s="37" t="n"/>
      <c r="D446" s="38">
        <f>IF(C446="","",IFERROR(INDEX(Anuncios!$B$6:$B$65,MATCH(C446,Anuncios!$A$6:$A$65,0)),"(no está en Anuncios)"))</f>
        <v/>
      </c>
      <c r="E446" s="39" t="n"/>
      <c r="F446" s="40" t="n"/>
      <c r="G446" s="40" t="n"/>
      <c r="H446" s="40" t="n"/>
      <c r="I446" s="39" t="n"/>
      <c r="J446" s="13">
        <f>IF(N(F446)&gt;0,G446/F446,"")</f>
        <v/>
      </c>
      <c r="K446" s="10">
        <f>IF(N(G446)&gt;0,E446/G446,"")</f>
        <v/>
      </c>
      <c r="L446" s="10">
        <f>IF(N(H446)&gt;0,E446/H446,"")</f>
        <v/>
      </c>
      <c r="M446" s="11">
        <f>IF(N(E446)&gt;0,I446/E446,"")</f>
        <v/>
      </c>
      <c r="N446" s="10">
        <f>IF(AND(E446="",I446=""),"",N(I446)*(1-COM-COM_SHOP)-N(E446)*(1+IMP_META))</f>
        <v/>
      </c>
      <c r="O446" s="37" t="n"/>
    </row>
    <row r="447">
      <c r="A447" s="36" t="n"/>
      <c r="B447" s="37" t="n"/>
      <c r="C447" s="37" t="n"/>
      <c r="D447" s="38">
        <f>IF(C447="","",IFERROR(INDEX(Anuncios!$B$6:$B$65,MATCH(C447,Anuncios!$A$6:$A$65,0)),"(no está en Anuncios)"))</f>
        <v/>
      </c>
      <c r="E447" s="39" t="n"/>
      <c r="F447" s="40" t="n"/>
      <c r="G447" s="40" t="n"/>
      <c r="H447" s="40" t="n"/>
      <c r="I447" s="39" t="n"/>
      <c r="J447" s="13">
        <f>IF(N(F447)&gt;0,G447/F447,"")</f>
        <v/>
      </c>
      <c r="K447" s="10">
        <f>IF(N(G447)&gt;0,E447/G447,"")</f>
        <v/>
      </c>
      <c r="L447" s="10">
        <f>IF(N(H447)&gt;0,E447/H447,"")</f>
        <v/>
      </c>
      <c r="M447" s="11">
        <f>IF(N(E447)&gt;0,I447/E447,"")</f>
        <v/>
      </c>
      <c r="N447" s="10">
        <f>IF(AND(E447="",I447=""),"",N(I447)*(1-COM-COM_SHOP)-N(E447)*(1+IMP_META))</f>
        <v/>
      </c>
      <c r="O447" s="37" t="n"/>
    </row>
    <row r="448">
      <c r="A448" s="36" t="n"/>
      <c r="B448" s="37" t="n"/>
      <c r="C448" s="37" t="n"/>
      <c r="D448" s="38">
        <f>IF(C448="","",IFERROR(INDEX(Anuncios!$B$6:$B$65,MATCH(C448,Anuncios!$A$6:$A$65,0)),"(no está en Anuncios)"))</f>
        <v/>
      </c>
      <c r="E448" s="39" t="n"/>
      <c r="F448" s="40" t="n"/>
      <c r="G448" s="40" t="n"/>
      <c r="H448" s="40" t="n"/>
      <c r="I448" s="39" t="n"/>
      <c r="J448" s="13">
        <f>IF(N(F448)&gt;0,G448/F448,"")</f>
        <v/>
      </c>
      <c r="K448" s="10">
        <f>IF(N(G448)&gt;0,E448/G448,"")</f>
        <v/>
      </c>
      <c r="L448" s="10">
        <f>IF(N(H448)&gt;0,E448/H448,"")</f>
        <v/>
      </c>
      <c r="M448" s="11">
        <f>IF(N(E448)&gt;0,I448/E448,"")</f>
        <v/>
      </c>
      <c r="N448" s="10">
        <f>IF(AND(E448="",I448=""),"",N(I448)*(1-COM-COM_SHOP)-N(E448)*(1+IMP_META))</f>
        <v/>
      </c>
      <c r="O448" s="37" t="n"/>
    </row>
    <row r="449">
      <c r="A449" s="36" t="n"/>
      <c r="B449" s="37" t="n"/>
      <c r="C449" s="37" t="n"/>
      <c r="D449" s="38">
        <f>IF(C449="","",IFERROR(INDEX(Anuncios!$B$6:$B$65,MATCH(C449,Anuncios!$A$6:$A$65,0)),"(no está en Anuncios)"))</f>
        <v/>
      </c>
      <c r="E449" s="39" t="n"/>
      <c r="F449" s="40" t="n"/>
      <c r="G449" s="40" t="n"/>
      <c r="H449" s="40" t="n"/>
      <c r="I449" s="39" t="n"/>
      <c r="J449" s="13">
        <f>IF(N(F449)&gt;0,G449/F449,"")</f>
        <v/>
      </c>
      <c r="K449" s="10">
        <f>IF(N(G449)&gt;0,E449/G449,"")</f>
        <v/>
      </c>
      <c r="L449" s="10">
        <f>IF(N(H449)&gt;0,E449/H449,"")</f>
        <v/>
      </c>
      <c r="M449" s="11">
        <f>IF(N(E449)&gt;0,I449/E449,"")</f>
        <v/>
      </c>
      <c r="N449" s="10">
        <f>IF(AND(E449="",I449=""),"",N(I449)*(1-COM-COM_SHOP)-N(E449)*(1+IMP_META))</f>
        <v/>
      </c>
      <c r="O449" s="37" t="n"/>
    </row>
    <row r="450">
      <c r="A450" s="36" t="n"/>
      <c r="B450" s="37" t="n"/>
      <c r="C450" s="37" t="n"/>
      <c r="D450" s="38">
        <f>IF(C450="","",IFERROR(INDEX(Anuncios!$B$6:$B$65,MATCH(C450,Anuncios!$A$6:$A$65,0)),"(no está en Anuncios)"))</f>
        <v/>
      </c>
      <c r="E450" s="39" t="n"/>
      <c r="F450" s="40" t="n"/>
      <c r="G450" s="40" t="n"/>
      <c r="H450" s="40" t="n"/>
      <c r="I450" s="39" t="n"/>
      <c r="J450" s="13">
        <f>IF(N(F450)&gt;0,G450/F450,"")</f>
        <v/>
      </c>
      <c r="K450" s="10">
        <f>IF(N(G450)&gt;0,E450/G450,"")</f>
        <v/>
      </c>
      <c r="L450" s="10">
        <f>IF(N(H450)&gt;0,E450/H450,"")</f>
        <v/>
      </c>
      <c r="M450" s="11">
        <f>IF(N(E450)&gt;0,I450/E450,"")</f>
        <v/>
      </c>
      <c r="N450" s="10">
        <f>IF(AND(E450="",I450=""),"",N(I450)*(1-COM-COM_SHOP)-N(E450)*(1+IMP_META))</f>
        <v/>
      </c>
      <c r="O450" s="37" t="n"/>
    </row>
    <row r="451">
      <c r="A451" s="36" t="n"/>
      <c r="B451" s="37" t="n"/>
      <c r="C451" s="37" t="n"/>
      <c r="D451" s="38">
        <f>IF(C451="","",IFERROR(INDEX(Anuncios!$B$6:$B$65,MATCH(C451,Anuncios!$A$6:$A$65,0)),"(no está en Anuncios)"))</f>
        <v/>
      </c>
      <c r="E451" s="39" t="n"/>
      <c r="F451" s="40" t="n"/>
      <c r="G451" s="40" t="n"/>
      <c r="H451" s="40" t="n"/>
      <c r="I451" s="39" t="n"/>
      <c r="J451" s="13">
        <f>IF(N(F451)&gt;0,G451/F451,"")</f>
        <v/>
      </c>
      <c r="K451" s="10">
        <f>IF(N(G451)&gt;0,E451/G451,"")</f>
        <v/>
      </c>
      <c r="L451" s="10">
        <f>IF(N(H451)&gt;0,E451/H451,"")</f>
        <v/>
      </c>
      <c r="M451" s="11">
        <f>IF(N(E451)&gt;0,I451/E451,"")</f>
        <v/>
      </c>
      <c r="N451" s="10">
        <f>IF(AND(E451="",I451=""),"",N(I451)*(1-COM-COM_SHOP)-N(E451)*(1+IMP_META))</f>
        <v/>
      </c>
      <c r="O451" s="37" t="n"/>
    </row>
    <row r="452">
      <c r="A452" s="36" t="n"/>
      <c r="B452" s="37" t="n"/>
      <c r="C452" s="37" t="n"/>
      <c r="D452" s="38">
        <f>IF(C452="","",IFERROR(INDEX(Anuncios!$B$6:$B$65,MATCH(C452,Anuncios!$A$6:$A$65,0)),"(no está en Anuncios)"))</f>
        <v/>
      </c>
      <c r="E452" s="39" t="n"/>
      <c r="F452" s="40" t="n"/>
      <c r="G452" s="40" t="n"/>
      <c r="H452" s="40" t="n"/>
      <c r="I452" s="39" t="n"/>
      <c r="J452" s="13">
        <f>IF(N(F452)&gt;0,G452/F452,"")</f>
        <v/>
      </c>
      <c r="K452" s="10">
        <f>IF(N(G452)&gt;0,E452/G452,"")</f>
        <v/>
      </c>
      <c r="L452" s="10">
        <f>IF(N(H452)&gt;0,E452/H452,"")</f>
        <v/>
      </c>
      <c r="M452" s="11">
        <f>IF(N(E452)&gt;0,I452/E452,"")</f>
        <v/>
      </c>
      <c r="N452" s="10">
        <f>IF(AND(E452="",I452=""),"",N(I452)*(1-COM-COM_SHOP)-N(E452)*(1+IMP_META))</f>
        <v/>
      </c>
      <c r="O452" s="37" t="n"/>
    </row>
    <row r="453">
      <c r="A453" s="36" t="n"/>
      <c r="B453" s="37" t="n"/>
      <c r="C453" s="37" t="n"/>
      <c r="D453" s="38">
        <f>IF(C453="","",IFERROR(INDEX(Anuncios!$B$6:$B$65,MATCH(C453,Anuncios!$A$6:$A$65,0)),"(no está en Anuncios)"))</f>
        <v/>
      </c>
      <c r="E453" s="39" t="n"/>
      <c r="F453" s="40" t="n"/>
      <c r="G453" s="40" t="n"/>
      <c r="H453" s="40" t="n"/>
      <c r="I453" s="39" t="n"/>
      <c r="J453" s="13">
        <f>IF(N(F453)&gt;0,G453/F453,"")</f>
        <v/>
      </c>
      <c r="K453" s="10">
        <f>IF(N(G453)&gt;0,E453/G453,"")</f>
        <v/>
      </c>
      <c r="L453" s="10">
        <f>IF(N(H453)&gt;0,E453/H453,"")</f>
        <v/>
      </c>
      <c r="M453" s="11">
        <f>IF(N(E453)&gt;0,I453/E453,"")</f>
        <v/>
      </c>
      <c r="N453" s="10">
        <f>IF(AND(E453="",I453=""),"",N(I453)*(1-COM-COM_SHOP)-N(E453)*(1+IMP_META))</f>
        <v/>
      </c>
      <c r="O453" s="37" t="n"/>
    </row>
    <row r="454">
      <c r="A454" s="36" t="n"/>
      <c r="B454" s="37" t="n"/>
      <c r="C454" s="37" t="n"/>
      <c r="D454" s="38">
        <f>IF(C454="","",IFERROR(INDEX(Anuncios!$B$6:$B$65,MATCH(C454,Anuncios!$A$6:$A$65,0)),"(no está en Anuncios)"))</f>
        <v/>
      </c>
      <c r="E454" s="39" t="n"/>
      <c r="F454" s="40" t="n"/>
      <c r="G454" s="40" t="n"/>
      <c r="H454" s="40" t="n"/>
      <c r="I454" s="39" t="n"/>
      <c r="J454" s="13">
        <f>IF(N(F454)&gt;0,G454/F454,"")</f>
        <v/>
      </c>
      <c r="K454" s="10">
        <f>IF(N(G454)&gt;0,E454/G454,"")</f>
        <v/>
      </c>
      <c r="L454" s="10">
        <f>IF(N(H454)&gt;0,E454/H454,"")</f>
        <v/>
      </c>
      <c r="M454" s="11">
        <f>IF(N(E454)&gt;0,I454/E454,"")</f>
        <v/>
      </c>
      <c r="N454" s="10">
        <f>IF(AND(E454="",I454=""),"",N(I454)*(1-COM-COM_SHOP)-N(E454)*(1+IMP_META))</f>
        <v/>
      </c>
      <c r="O454" s="37" t="n"/>
    </row>
    <row r="455">
      <c r="A455" s="36" t="n"/>
      <c r="B455" s="37" t="n"/>
      <c r="C455" s="37" t="n"/>
      <c r="D455" s="38">
        <f>IF(C455="","",IFERROR(INDEX(Anuncios!$B$6:$B$65,MATCH(C455,Anuncios!$A$6:$A$65,0)),"(no está en Anuncios)"))</f>
        <v/>
      </c>
      <c r="E455" s="39" t="n"/>
      <c r="F455" s="40" t="n"/>
      <c r="G455" s="40" t="n"/>
      <c r="H455" s="40" t="n"/>
      <c r="I455" s="39" t="n"/>
      <c r="J455" s="13">
        <f>IF(N(F455)&gt;0,G455/F455,"")</f>
        <v/>
      </c>
      <c r="K455" s="10">
        <f>IF(N(G455)&gt;0,E455/G455,"")</f>
        <v/>
      </c>
      <c r="L455" s="10">
        <f>IF(N(H455)&gt;0,E455/H455,"")</f>
        <v/>
      </c>
      <c r="M455" s="11">
        <f>IF(N(E455)&gt;0,I455/E455,"")</f>
        <v/>
      </c>
      <c r="N455" s="10">
        <f>IF(AND(E455="",I455=""),"",N(I455)*(1-COM-COM_SHOP)-N(E455)*(1+IMP_META))</f>
        <v/>
      </c>
      <c r="O455" s="37" t="n"/>
    </row>
    <row r="456">
      <c r="A456" s="36" t="n"/>
      <c r="B456" s="37" t="n"/>
      <c r="C456" s="37" t="n"/>
      <c r="D456" s="38">
        <f>IF(C456="","",IFERROR(INDEX(Anuncios!$B$6:$B$65,MATCH(C456,Anuncios!$A$6:$A$65,0)),"(no está en Anuncios)"))</f>
        <v/>
      </c>
      <c r="E456" s="39" t="n"/>
      <c r="F456" s="40" t="n"/>
      <c r="G456" s="40" t="n"/>
      <c r="H456" s="40" t="n"/>
      <c r="I456" s="39" t="n"/>
      <c r="J456" s="13">
        <f>IF(N(F456)&gt;0,G456/F456,"")</f>
        <v/>
      </c>
      <c r="K456" s="10">
        <f>IF(N(G456)&gt;0,E456/G456,"")</f>
        <v/>
      </c>
      <c r="L456" s="10">
        <f>IF(N(H456)&gt;0,E456/H456,"")</f>
        <v/>
      </c>
      <c r="M456" s="11">
        <f>IF(N(E456)&gt;0,I456/E456,"")</f>
        <v/>
      </c>
      <c r="N456" s="10">
        <f>IF(AND(E456="",I456=""),"",N(I456)*(1-COM-COM_SHOP)-N(E456)*(1+IMP_META))</f>
        <v/>
      </c>
      <c r="O456" s="37" t="n"/>
    </row>
    <row r="457">
      <c r="A457" s="36" t="n"/>
      <c r="B457" s="37" t="n"/>
      <c r="C457" s="37" t="n"/>
      <c r="D457" s="38">
        <f>IF(C457="","",IFERROR(INDEX(Anuncios!$B$6:$B$65,MATCH(C457,Anuncios!$A$6:$A$65,0)),"(no está en Anuncios)"))</f>
        <v/>
      </c>
      <c r="E457" s="39" t="n"/>
      <c r="F457" s="40" t="n"/>
      <c r="G457" s="40" t="n"/>
      <c r="H457" s="40" t="n"/>
      <c r="I457" s="39" t="n"/>
      <c r="J457" s="13">
        <f>IF(N(F457)&gt;0,G457/F457,"")</f>
        <v/>
      </c>
      <c r="K457" s="10">
        <f>IF(N(G457)&gt;0,E457/G457,"")</f>
        <v/>
      </c>
      <c r="L457" s="10">
        <f>IF(N(H457)&gt;0,E457/H457,"")</f>
        <v/>
      </c>
      <c r="M457" s="11">
        <f>IF(N(E457)&gt;0,I457/E457,"")</f>
        <v/>
      </c>
      <c r="N457" s="10">
        <f>IF(AND(E457="",I457=""),"",N(I457)*(1-COM-COM_SHOP)-N(E457)*(1+IMP_META))</f>
        <v/>
      </c>
      <c r="O457" s="37" t="n"/>
    </row>
    <row r="458">
      <c r="A458" s="36" t="n"/>
      <c r="B458" s="37" t="n"/>
      <c r="C458" s="37" t="n"/>
      <c r="D458" s="38">
        <f>IF(C458="","",IFERROR(INDEX(Anuncios!$B$6:$B$65,MATCH(C458,Anuncios!$A$6:$A$65,0)),"(no está en Anuncios)"))</f>
        <v/>
      </c>
      <c r="E458" s="39" t="n"/>
      <c r="F458" s="40" t="n"/>
      <c r="G458" s="40" t="n"/>
      <c r="H458" s="40" t="n"/>
      <c r="I458" s="39" t="n"/>
      <c r="J458" s="13">
        <f>IF(N(F458)&gt;0,G458/F458,"")</f>
        <v/>
      </c>
      <c r="K458" s="10">
        <f>IF(N(G458)&gt;0,E458/G458,"")</f>
        <v/>
      </c>
      <c r="L458" s="10">
        <f>IF(N(H458)&gt;0,E458/H458,"")</f>
        <v/>
      </c>
      <c r="M458" s="11">
        <f>IF(N(E458)&gt;0,I458/E458,"")</f>
        <v/>
      </c>
      <c r="N458" s="10">
        <f>IF(AND(E458="",I458=""),"",N(I458)*(1-COM-COM_SHOP)-N(E458)*(1+IMP_META))</f>
        <v/>
      </c>
      <c r="O458" s="37" t="n"/>
    </row>
    <row r="459">
      <c r="A459" s="36" t="n"/>
      <c r="B459" s="37" t="n"/>
      <c r="C459" s="37" t="n"/>
      <c r="D459" s="38">
        <f>IF(C459="","",IFERROR(INDEX(Anuncios!$B$6:$B$65,MATCH(C459,Anuncios!$A$6:$A$65,0)),"(no está en Anuncios)"))</f>
        <v/>
      </c>
      <c r="E459" s="39" t="n"/>
      <c r="F459" s="40" t="n"/>
      <c r="G459" s="40" t="n"/>
      <c r="H459" s="40" t="n"/>
      <c r="I459" s="39" t="n"/>
      <c r="J459" s="13">
        <f>IF(N(F459)&gt;0,G459/F459,"")</f>
        <v/>
      </c>
      <c r="K459" s="10">
        <f>IF(N(G459)&gt;0,E459/G459,"")</f>
        <v/>
      </c>
      <c r="L459" s="10">
        <f>IF(N(H459)&gt;0,E459/H459,"")</f>
        <v/>
      </c>
      <c r="M459" s="11">
        <f>IF(N(E459)&gt;0,I459/E459,"")</f>
        <v/>
      </c>
      <c r="N459" s="10">
        <f>IF(AND(E459="",I459=""),"",N(I459)*(1-COM-COM_SHOP)-N(E459)*(1+IMP_META))</f>
        <v/>
      </c>
      <c r="O459" s="37" t="n"/>
    </row>
    <row r="460">
      <c r="A460" s="36" t="n"/>
      <c r="B460" s="37" t="n"/>
      <c r="C460" s="37" t="n"/>
      <c r="D460" s="38">
        <f>IF(C460="","",IFERROR(INDEX(Anuncios!$B$6:$B$65,MATCH(C460,Anuncios!$A$6:$A$65,0)),"(no está en Anuncios)"))</f>
        <v/>
      </c>
      <c r="E460" s="39" t="n"/>
      <c r="F460" s="40" t="n"/>
      <c r="G460" s="40" t="n"/>
      <c r="H460" s="40" t="n"/>
      <c r="I460" s="39" t="n"/>
      <c r="J460" s="13">
        <f>IF(N(F460)&gt;0,G460/F460,"")</f>
        <v/>
      </c>
      <c r="K460" s="10">
        <f>IF(N(G460)&gt;0,E460/G460,"")</f>
        <v/>
      </c>
      <c r="L460" s="10">
        <f>IF(N(H460)&gt;0,E460/H460,"")</f>
        <v/>
      </c>
      <c r="M460" s="11">
        <f>IF(N(E460)&gt;0,I460/E460,"")</f>
        <v/>
      </c>
      <c r="N460" s="10">
        <f>IF(AND(E460="",I460=""),"",N(I460)*(1-COM-COM_SHOP)-N(E460)*(1+IMP_META))</f>
        <v/>
      </c>
      <c r="O460" s="37" t="n"/>
    </row>
    <row r="461">
      <c r="A461" s="36" t="n"/>
      <c r="B461" s="37" t="n"/>
      <c r="C461" s="37" t="n"/>
      <c r="D461" s="38">
        <f>IF(C461="","",IFERROR(INDEX(Anuncios!$B$6:$B$65,MATCH(C461,Anuncios!$A$6:$A$65,0)),"(no está en Anuncios)"))</f>
        <v/>
      </c>
      <c r="E461" s="39" t="n"/>
      <c r="F461" s="40" t="n"/>
      <c r="G461" s="40" t="n"/>
      <c r="H461" s="40" t="n"/>
      <c r="I461" s="39" t="n"/>
      <c r="J461" s="13">
        <f>IF(N(F461)&gt;0,G461/F461,"")</f>
        <v/>
      </c>
      <c r="K461" s="10">
        <f>IF(N(G461)&gt;0,E461/G461,"")</f>
        <v/>
      </c>
      <c r="L461" s="10">
        <f>IF(N(H461)&gt;0,E461/H461,"")</f>
        <v/>
      </c>
      <c r="M461" s="11">
        <f>IF(N(E461)&gt;0,I461/E461,"")</f>
        <v/>
      </c>
      <c r="N461" s="10">
        <f>IF(AND(E461="",I461=""),"",N(I461)*(1-COM-COM_SHOP)-N(E461)*(1+IMP_META))</f>
        <v/>
      </c>
      <c r="O461" s="37" t="n"/>
    </row>
    <row r="462">
      <c r="A462" s="36" t="n"/>
      <c r="B462" s="37" t="n"/>
      <c r="C462" s="37" t="n"/>
      <c r="D462" s="38">
        <f>IF(C462="","",IFERROR(INDEX(Anuncios!$B$6:$B$65,MATCH(C462,Anuncios!$A$6:$A$65,0)),"(no está en Anuncios)"))</f>
        <v/>
      </c>
      <c r="E462" s="39" t="n"/>
      <c r="F462" s="40" t="n"/>
      <c r="G462" s="40" t="n"/>
      <c r="H462" s="40" t="n"/>
      <c r="I462" s="39" t="n"/>
      <c r="J462" s="13">
        <f>IF(N(F462)&gt;0,G462/F462,"")</f>
        <v/>
      </c>
      <c r="K462" s="10">
        <f>IF(N(G462)&gt;0,E462/G462,"")</f>
        <v/>
      </c>
      <c r="L462" s="10">
        <f>IF(N(H462)&gt;0,E462/H462,"")</f>
        <v/>
      </c>
      <c r="M462" s="11">
        <f>IF(N(E462)&gt;0,I462/E462,"")</f>
        <v/>
      </c>
      <c r="N462" s="10">
        <f>IF(AND(E462="",I462=""),"",N(I462)*(1-COM-COM_SHOP)-N(E462)*(1+IMP_META))</f>
        <v/>
      </c>
      <c r="O462" s="37" t="n"/>
    </row>
    <row r="463">
      <c r="A463" s="36" t="n"/>
      <c r="B463" s="37" t="n"/>
      <c r="C463" s="37" t="n"/>
      <c r="D463" s="38">
        <f>IF(C463="","",IFERROR(INDEX(Anuncios!$B$6:$B$65,MATCH(C463,Anuncios!$A$6:$A$65,0)),"(no está en Anuncios)"))</f>
        <v/>
      </c>
      <c r="E463" s="39" t="n"/>
      <c r="F463" s="40" t="n"/>
      <c r="G463" s="40" t="n"/>
      <c r="H463" s="40" t="n"/>
      <c r="I463" s="39" t="n"/>
      <c r="J463" s="13">
        <f>IF(N(F463)&gt;0,G463/F463,"")</f>
        <v/>
      </c>
      <c r="K463" s="10">
        <f>IF(N(G463)&gt;0,E463/G463,"")</f>
        <v/>
      </c>
      <c r="L463" s="10">
        <f>IF(N(H463)&gt;0,E463/H463,"")</f>
        <v/>
      </c>
      <c r="M463" s="11">
        <f>IF(N(E463)&gt;0,I463/E463,"")</f>
        <v/>
      </c>
      <c r="N463" s="10">
        <f>IF(AND(E463="",I463=""),"",N(I463)*(1-COM-COM_SHOP)-N(E463)*(1+IMP_META))</f>
        <v/>
      </c>
      <c r="O463" s="37" t="n"/>
    </row>
    <row r="464">
      <c r="A464" s="36" t="n"/>
      <c r="B464" s="37" t="n"/>
      <c r="C464" s="37" t="n"/>
      <c r="D464" s="38">
        <f>IF(C464="","",IFERROR(INDEX(Anuncios!$B$6:$B$65,MATCH(C464,Anuncios!$A$6:$A$65,0)),"(no está en Anuncios)"))</f>
        <v/>
      </c>
      <c r="E464" s="39" t="n"/>
      <c r="F464" s="40" t="n"/>
      <c r="G464" s="40" t="n"/>
      <c r="H464" s="40" t="n"/>
      <c r="I464" s="39" t="n"/>
      <c r="J464" s="13">
        <f>IF(N(F464)&gt;0,G464/F464,"")</f>
        <v/>
      </c>
      <c r="K464" s="10">
        <f>IF(N(G464)&gt;0,E464/G464,"")</f>
        <v/>
      </c>
      <c r="L464" s="10">
        <f>IF(N(H464)&gt;0,E464/H464,"")</f>
        <v/>
      </c>
      <c r="M464" s="11">
        <f>IF(N(E464)&gt;0,I464/E464,"")</f>
        <v/>
      </c>
      <c r="N464" s="10">
        <f>IF(AND(E464="",I464=""),"",N(I464)*(1-COM-COM_SHOP)-N(E464)*(1+IMP_META))</f>
        <v/>
      </c>
      <c r="O464" s="37" t="n"/>
    </row>
    <row r="465">
      <c r="A465" s="36" t="n"/>
      <c r="B465" s="37" t="n"/>
      <c r="C465" s="37" t="n"/>
      <c r="D465" s="38">
        <f>IF(C465="","",IFERROR(INDEX(Anuncios!$B$6:$B$65,MATCH(C465,Anuncios!$A$6:$A$65,0)),"(no está en Anuncios)"))</f>
        <v/>
      </c>
      <c r="E465" s="39" t="n"/>
      <c r="F465" s="40" t="n"/>
      <c r="G465" s="40" t="n"/>
      <c r="H465" s="40" t="n"/>
      <c r="I465" s="39" t="n"/>
      <c r="J465" s="13">
        <f>IF(N(F465)&gt;0,G465/F465,"")</f>
        <v/>
      </c>
      <c r="K465" s="10">
        <f>IF(N(G465)&gt;0,E465/G465,"")</f>
        <v/>
      </c>
      <c r="L465" s="10">
        <f>IF(N(H465)&gt;0,E465/H465,"")</f>
        <v/>
      </c>
      <c r="M465" s="11">
        <f>IF(N(E465)&gt;0,I465/E465,"")</f>
        <v/>
      </c>
      <c r="N465" s="10">
        <f>IF(AND(E465="",I465=""),"",N(I465)*(1-COM-COM_SHOP)-N(E465)*(1+IMP_META))</f>
        <v/>
      </c>
      <c r="O465" s="37" t="n"/>
    </row>
    <row r="466">
      <c r="A466" s="36" t="n"/>
      <c r="B466" s="37" t="n"/>
      <c r="C466" s="37" t="n"/>
      <c r="D466" s="38">
        <f>IF(C466="","",IFERROR(INDEX(Anuncios!$B$6:$B$65,MATCH(C466,Anuncios!$A$6:$A$65,0)),"(no está en Anuncios)"))</f>
        <v/>
      </c>
      <c r="E466" s="39" t="n"/>
      <c r="F466" s="40" t="n"/>
      <c r="G466" s="40" t="n"/>
      <c r="H466" s="40" t="n"/>
      <c r="I466" s="39" t="n"/>
      <c r="J466" s="13">
        <f>IF(N(F466)&gt;0,G466/F466,"")</f>
        <v/>
      </c>
      <c r="K466" s="10">
        <f>IF(N(G466)&gt;0,E466/G466,"")</f>
        <v/>
      </c>
      <c r="L466" s="10">
        <f>IF(N(H466)&gt;0,E466/H466,"")</f>
        <v/>
      </c>
      <c r="M466" s="11">
        <f>IF(N(E466)&gt;0,I466/E466,"")</f>
        <v/>
      </c>
      <c r="N466" s="10">
        <f>IF(AND(E466="",I466=""),"",N(I466)*(1-COM-COM_SHOP)-N(E466)*(1+IMP_META))</f>
        <v/>
      </c>
      <c r="O466" s="37" t="n"/>
    </row>
    <row r="467">
      <c r="A467" s="36" t="n"/>
      <c r="B467" s="37" t="n"/>
      <c r="C467" s="37" t="n"/>
      <c r="D467" s="38">
        <f>IF(C467="","",IFERROR(INDEX(Anuncios!$B$6:$B$65,MATCH(C467,Anuncios!$A$6:$A$65,0)),"(no está en Anuncios)"))</f>
        <v/>
      </c>
      <c r="E467" s="39" t="n"/>
      <c r="F467" s="40" t="n"/>
      <c r="G467" s="40" t="n"/>
      <c r="H467" s="40" t="n"/>
      <c r="I467" s="39" t="n"/>
      <c r="J467" s="13">
        <f>IF(N(F467)&gt;0,G467/F467,"")</f>
        <v/>
      </c>
      <c r="K467" s="10">
        <f>IF(N(G467)&gt;0,E467/G467,"")</f>
        <v/>
      </c>
      <c r="L467" s="10">
        <f>IF(N(H467)&gt;0,E467/H467,"")</f>
        <v/>
      </c>
      <c r="M467" s="11">
        <f>IF(N(E467)&gt;0,I467/E467,"")</f>
        <v/>
      </c>
      <c r="N467" s="10">
        <f>IF(AND(E467="",I467=""),"",N(I467)*(1-COM-COM_SHOP)-N(E467)*(1+IMP_META))</f>
        <v/>
      </c>
      <c r="O467" s="37" t="n"/>
    </row>
    <row r="468">
      <c r="A468" s="36" t="n"/>
      <c r="B468" s="37" t="n"/>
      <c r="C468" s="37" t="n"/>
      <c r="D468" s="38">
        <f>IF(C468="","",IFERROR(INDEX(Anuncios!$B$6:$B$65,MATCH(C468,Anuncios!$A$6:$A$65,0)),"(no está en Anuncios)"))</f>
        <v/>
      </c>
      <c r="E468" s="39" t="n"/>
      <c r="F468" s="40" t="n"/>
      <c r="G468" s="40" t="n"/>
      <c r="H468" s="40" t="n"/>
      <c r="I468" s="39" t="n"/>
      <c r="J468" s="13">
        <f>IF(N(F468)&gt;0,G468/F468,"")</f>
        <v/>
      </c>
      <c r="K468" s="10">
        <f>IF(N(G468)&gt;0,E468/G468,"")</f>
        <v/>
      </c>
      <c r="L468" s="10">
        <f>IF(N(H468)&gt;0,E468/H468,"")</f>
        <v/>
      </c>
      <c r="M468" s="11">
        <f>IF(N(E468)&gt;0,I468/E468,"")</f>
        <v/>
      </c>
      <c r="N468" s="10">
        <f>IF(AND(E468="",I468=""),"",N(I468)*(1-COM-COM_SHOP)-N(E468)*(1+IMP_META))</f>
        <v/>
      </c>
      <c r="O468" s="37" t="n"/>
    </row>
    <row r="469">
      <c r="A469" s="36" t="n"/>
      <c r="B469" s="37" t="n"/>
      <c r="C469" s="37" t="n"/>
      <c r="D469" s="38">
        <f>IF(C469="","",IFERROR(INDEX(Anuncios!$B$6:$B$65,MATCH(C469,Anuncios!$A$6:$A$65,0)),"(no está en Anuncios)"))</f>
        <v/>
      </c>
      <c r="E469" s="39" t="n"/>
      <c r="F469" s="40" t="n"/>
      <c r="G469" s="40" t="n"/>
      <c r="H469" s="40" t="n"/>
      <c r="I469" s="39" t="n"/>
      <c r="J469" s="13">
        <f>IF(N(F469)&gt;0,G469/F469,"")</f>
        <v/>
      </c>
      <c r="K469" s="10">
        <f>IF(N(G469)&gt;0,E469/G469,"")</f>
        <v/>
      </c>
      <c r="L469" s="10">
        <f>IF(N(H469)&gt;0,E469/H469,"")</f>
        <v/>
      </c>
      <c r="M469" s="11">
        <f>IF(N(E469)&gt;0,I469/E469,"")</f>
        <v/>
      </c>
      <c r="N469" s="10">
        <f>IF(AND(E469="",I469=""),"",N(I469)*(1-COM-COM_SHOP)-N(E469)*(1+IMP_META))</f>
        <v/>
      </c>
      <c r="O469" s="37" t="n"/>
    </row>
    <row r="470">
      <c r="A470" s="36" t="n"/>
      <c r="B470" s="37" t="n"/>
      <c r="C470" s="37" t="n"/>
      <c r="D470" s="38">
        <f>IF(C470="","",IFERROR(INDEX(Anuncios!$B$6:$B$65,MATCH(C470,Anuncios!$A$6:$A$65,0)),"(no está en Anuncios)"))</f>
        <v/>
      </c>
      <c r="E470" s="39" t="n"/>
      <c r="F470" s="40" t="n"/>
      <c r="G470" s="40" t="n"/>
      <c r="H470" s="40" t="n"/>
      <c r="I470" s="39" t="n"/>
      <c r="J470" s="13">
        <f>IF(N(F470)&gt;0,G470/F470,"")</f>
        <v/>
      </c>
      <c r="K470" s="10">
        <f>IF(N(G470)&gt;0,E470/G470,"")</f>
        <v/>
      </c>
      <c r="L470" s="10">
        <f>IF(N(H470)&gt;0,E470/H470,"")</f>
        <v/>
      </c>
      <c r="M470" s="11">
        <f>IF(N(E470)&gt;0,I470/E470,"")</f>
        <v/>
      </c>
      <c r="N470" s="10">
        <f>IF(AND(E470="",I470=""),"",N(I470)*(1-COM-COM_SHOP)-N(E470)*(1+IMP_META))</f>
        <v/>
      </c>
      <c r="O470" s="37" t="n"/>
    </row>
    <row r="471">
      <c r="A471" s="36" t="n"/>
      <c r="B471" s="37" t="n"/>
      <c r="C471" s="37" t="n"/>
      <c r="D471" s="38">
        <f>IF(C471="","",IFERROR(INDEX(Anuncios!$B$6:$B$65,MATCH(C471,Anuncios!$A$6:$A$65,0)),"(no está en Anuncios)"))</f>
        <v/>
      </c>
      <c r="E471" s="39" t="n"/>
      <c r="F471" s="40" t="n"/>
      <c r="G471" s="40" t="n"/>
      <c r="H471" s="40" t="n"/>
      <c r="I471" s="39" t="n"/>
      <c r="J471" s="13">
        <f>IF(N(F471)&gt;0,G471/F471,"")</f>
        <v/>
      </c>
      <c r="K471" s="10">
        <f>IF(N(G471)&gt;0,E471/G471,"")</f>
        <v/>
      </c>
      <c r="L471" s="10">
        <f>IF(N(H471)&gt;0,E471/H471,"")</f>
        <v/>
      </c>
      <c r="M471" s="11">
        <f>IF(N(E471)&gt;0,I471/E471,"")</f>
        <v/>
      </c>
      <c r="N471" s="10">
        <f>IF(AND(E471="",I471=""),"",N(I471)*(1-COM-COM_SHOP)-N(E471)*(1+IMP_META))</f>
        <v/>
      </c>
      <c r="O471" s="37" t="n"/>
    </row>
    <row r="472">
      <c r="A472" s="36" t="n"/>
      <c r="B472" s="37" t="n"/>
      <c r="C472" s="37" t="n"/>
      <c r="D472" s="38">
        <f>IF(C472="","",IFERROR(INDEX(Anuncios!$B$6:$B$65,MATCH(C472,Anuncios!$A$6:$A$65,0)),"(no está en Anuncios)"))</f>
        <v/>
      </c>
      <c r="E472" s="39" t="n"/>
      <c r="F472" s="40" t="n"/>
      <c r="G472" s="40" t="n"/>
      <c r="H472" s="40" t="n"/>
      <c r="I472" s="39" t="n"/>
      <c r="J472" s="13">
        <f>IF(N(F472)&gt;0,G472/F472,"")</f>
        <v/>
      </c>
      <c r="K472" s="10">
        <f>IF(N(G472)&gt;0,E472/G472,"")</f>
        <v/>
      </c>
      <c r="L472" s="10">
        <f>IF(N(H472)&gt;0,E472/H472,"")</f>
        <v/>
      </c>
      <c r="M472" s="11">
        <f>IF(N(E472)&gt;0,I472/E472,"")</f>
        <v/>
      </c>
      <c r="N472" s="10">
        <f>IF(AND(E472="",I472=""),"",N(I472)*(1-COM-COM_SHOP)-N(E472)*(1+IMP_META))</f>
        <v/>
      </c>
      <c r="O472" s="37" t="n"/>
    </row>
    <row r="473">
      <c r="A473" s="36" t="n"/>
      <c r="B473" s="37" t="n"/>
      <c r="C473" s="37" t="n"/>
      <c r="D473" s="38">
        <f>IF(C473="","",IFERROR(INDEX(Anuncios!$B$6:$B$65,MATCH(C473,Anuncios!$A$6:$A$65,0)),"(no está en Anuncios)"))</f>
        <v/>
      </c>
      <c r="E473" s="39" t="n"/>
      <c r="F473" s="40" t="n"/>
      <c r="G473" s="40" t="n"/>
      <c r="H473" s="40" t="n"/>
      <c r="I473" s="39" t="n"/>
      <c r="J473" s="13">
        <f>IF(N(F473)&gt;0,G473/F473,"")</f>
        <v/>
      </c>
      <c r="K473" s="10">
        <f>IF(N(G473)&gt;0,E473/G473,"")</f>
        <v/>
      </c>
      <c r="L473" s="10">
        <f>IF(N(H473)&gt;0,E473/H473,"")</f>
        <v/>
      </c>
      <c r="M473" s="11">
        <f>IF(N(E473)&gt;0,I473/E473,"")</f>
        <v/>
      </c>
      <c r="N473" s="10">
        <f>IF(AND(E473="",I473=""),"",N(I473)*(1-COM-COM_SHOP)-N(E473)*(1+IMP_META))</f>
        <v/>
      </c>
      <c r="O473" s="37" t="n"/>
    </row>
    <row r="474">
      <c r="A474" s="36" t="n"/>
      <c r="B474" s="37" t="n"/>
      <c r="C474" s="37" t="n"/>
      <c r="D474" s="38">
        <f>IF(C474="","",IFERROR(INDEX(Anuncios!$B$6:$B$65,MATCH(C474,Anuncios!$A$6:$A$65,0)),"(no está en Anuncios)"))</f>
        <v/>
      </c>
      <c r="E474" s="39" t="n"/>
      <c r="F474" s="40" t="n"/>
      <c r="G474" s="40" t="n"/>
      <c r="H474" s="40" t="n"/>
      <c r="I474" s="39" t="n"/>
      <c r="J474" s="13">
        <f>IF(N(F474)&gt;0,G474/F474,"")</f>
        <v/>
      </c>
      <c r="K474" s="10">
        <f>IF(N(G474)&gt;0,E474/G474,"")</f>
        <v/>
      </c>
      <c r="L474" s="10">
        <f>IF(N(H474)&gt;0,E474/H474,"")</f>
        <v/>
      </c>
      <c r="M474" s="11">
        <f>IF(N(E474)&gt;0,I474/E474,"")</f>
        <v/>
      </c>
      <c r="N474" s="10">
        <f>IF(AND(E474="",I474=""),"",N(I474)*(1-COM-COM_SHOP)-N(E474)*(1+IMP_META))</f>
        <v/>
      </c>
      <c r="O474" s="37" t="n"/>
    </row>
    <row r="475">
      <c r="A475" s="36" t="n"/>
      <c r="B475" s="37" t="n"/>
      <c r="C475" s="37" t="n"/>
      <c r="D475" s="38">
        <f>IF(C475="","",IFERROR(INDEX(Anuncios!$B$6:$B$65,MATCH(C475,Anuncios!$A$6:$A$65,0)),"(no está en Anuncios)"))</f>
        <v/>
      </c>
      <c r="E475" s="39" t="n"/>
      <c r="F475" s="40" t="n"/>
      <c r="G475" s="40" t="n"/>
      <c r="H475" s="40" t="n"/>
      <c r="I475" s="39" t="n"/>
      <c r="J475" s="13">
        <f>IF(N(F475)&gt;0,G475/F475,"")</f>
        <v/>
      </c>
      <c r="K475" s="10">
        <f>IF(N(G475)&gt;0,E475/G475,"")</f>
        <v/>
      </c>
      <c r="L475" s="10">
        <f>IF(N(H475)&gt;0,E475/H475,"")</f>
        <v/>
      </c>
      <c r="M475" s="11">
        <f>IF(N(E475)&gt;0,I475/E475,"")</f>
        <v/>
      </c>
      <c r="N475" s="10">
        <f>IF(AND(E475="",I475=""),"",N(I475)*(1-COM-COM_SHOP)-N(E475)*(1+IMP_META))</f>
        <v/>
      </c>
      <c r="O475" s="37" t="n"/>
    </row>
    <row r="476">
      <c r="A476" s="36" t="n"/>
      <c r="B476" s="37" t="n"/>
      <c r="C476" s="37" t="n"/>
      <c r="D476" s="38">
        <f>IF(C476="","",IFERROR(INDEX(Anuncios!$B$6:$B$65,MATCH(C476,Anuncios!$A$6:$A$65,0)),"(no está en Anuncios)"))</f>
        <v/>
      </c>
      <c r="E476" s="39" t="n"/>
      <c r="F476" s="40" t="n"/>
      <c r="G476" s="40" t="n"/>
      <c r="H476" s="40" t="n"/>
      <c r="I476" s="39" t="n"/>
      <c r="J476" s="13">
        <f>IF(N(F476)&gt;0,G476/F476,"")</f>
        <v/>
      </c>
      <c r="K476" s="10">
        <f>IF(N(G476)&gt;0,E476/G476,"")</f>
        <v/>
      </c>
      <c r="L476" s="10">
        <f>IF(N(H476)&gt;0,E476/H476,"")</f>
        <v/>
      </c>
      <c r="M476" s="11">
        <f>IF(N(E476)&gt;0,I476/E476,"")</f>
        <v/>
      </c>
      <c r="N476" s="10">
        <f>IF(AND(E476="",I476=""),"",N(I476)*(1-COM-COM_SHOP)-N(E476)*(1+IMP_META))</f>
        <v/>
      </c>
      <c r="O476" s="37" t="n"/>
    </row>
    <row r="477">
      <c r="A477" s="36" t="n"/>
      <c r="B477" s="37" t="n"/>
      <c r="C477" s="37" t="n"/>
      <c r="D477" s="38">
        <f>IF(C477="","",IFERROR(INDEX(Anuncios!$B$6:$B$65,MATCH(C477,Anuncios!$A$6:$A$65,0)),"(no está en Anuncios)"))</f>
        <v/>
      </c>
      <c r="E477" s="39" t="n"/>
      <c r="F477" s="40" t="n"/>
      <c r="G477" s="40" t="n"/>
      <c r="H477" s="40" t="n"/>
      <c r="I477" s="39" t="n"/>
      <c r="J477" s="13">
        <f>IF(N(F477)&gt;0,G477/F477,"")</f>
        <v/>
      </c>
      <c r="K477" s="10">
        <f>IF(N(G477)&gt;0,E477/G477,"")</f>
        <v/>
      </c>
      <c r="L477" s="10">
        <f>IF(N(H477)&gt;0,E477/H477,"")</f>
        <v/>
      </c>
      <c r="M477" s="11">
        <f>IF(N(E477)&gt;0,I477/E477,"")</f>
        <v/>
      </c>
      <c r="N477" s="10">
        <f>IF(AND(E477="",I477=""),"",N(I477)*(1-COM-COM_SHOP)-N(E477)*(1+IMP_META))</f>
        <v/>
      </c>
      <c r="O477" s="37" t="n"/>
    </row>
    <row r="478">
      <c r="A478" s="36" t="n"/>
      <c r="B478" s="37" t="n"/>
      <c r="C478" s="37" t="n"/>
      <c r="D478" s="38">
        <f>IF(C478="","",IFERROR(INDEX(Anuncios!$B$6:$B$65,MATCH(C478,Anuncios!$A$6:$A$65,0)),"(no está en Anuncios)"))</f>
        <v/>
      </c>
      <c r="E478" s="39" t="n"/>
      <c r="F478" s="40" t="n"/>
      <c r="G478" s="40" t="n"/>
      <c r="H478" s="40" t="n"/>
      <c r="I478" s="39" t="n"/>
      <c r="J478" s="13">
        <f>IF(N(F478)&gt;0,G478/F478,"")</f>
        <v/>
      </c>
      <c r="K478" s="10">
        <f>IF(N(G478)&gt;0,E478/G478,"")</f>
        <v/>
      </c>
      <c r="L478" s="10">
        <f>IF(N(H478)&gt;0,E478/H478,"")</f>
        <v/>
      </c>
      <c r="M478" s="11">
        <f>IF(N(E478)&gt;0,I478/E478,"")</f>
        <v/>
      </c>
      <c r="N478" s="10">
        <f>IF(AND(E478="",I478=""),"",N(I478)*(1-COM-COM_SHOP)-N(E478)*(1+IMP_META))</f>
        <v/>
      </c>
      <c r="O478" s="37" t="n"/>
    </row>
    <row r="479">
      <c r="A479" s="36" t="n"/>
      <c r="B479" s="37" t="n"/>
      <c r="C479" s="37" t="n"/>
      <c r="D479" s="38">
        <f>IF(C479="","",IFERROR(INDEX(Anuncios!$B$6:$B$65,MATCH(C479,Anuncios!$A$6:$A$65,0)),"(no está en Anuncios)"))</f>
        <v/>
      </c>
      <c r="E479" s="39" t="n"/>
      <c r="F479" s="40" t="n"/>
      <c r="G479" s="40" t="n"/>
      <c r="H479" s="40" t="n"/>
      <c r="I479" s="39" t="n"/>
      <c r="J479" s="13">
        <f>IF(N(F479)&gt;0,G479/F479,"")</f>
        <v/>
      </c>
      <c r="K479" s="10">
        <f>IF(N(G479)&gt;0,E479/G479,"")</f>
        <v/>
      </c>
      <c r="L479" s="10">
        <f>IF(N(H479)&gt;0,E479/H479,"")</f>
        <v/>
      </c>
      <c r="M479" s="11">
        <f>IF(N(E479)&gt;0,I479/E479,"")</f>
        <v/>
      </c>
      <c r="N479" s="10">
        <f>IF(AND(E479="",I479=""),"",N(I479)*(1-COM-COM_SHOP)-N(E479)*(1+IMP_META))</f>
        <v/>
      </c>
      <c r="O479" s="37" t="n"/>
    </row>
    <row r="480">
      <c r="A480" s="36" t="n"/>
      <c r="B480" s="37" t="n"/>
      <c r="C480" s="37" t="n"/>
      <c r="D480" s="38">
        <f>IF(C480="","",IFERROR(INDEX(Anuncios!$B$6:$B$65,MATCH(C480,Anuncios!$A$6:$A$65,0)),"(no está en Anuncios)"))</f>
        <v/>
      </c>
      <c r="E480" s="39" t="n"/>
      <c r="F480" s="40" t="n"/>
      <c r="G480" s="40" t="n"/>
      <c r="H480" s="40" t="n"/>
      <c r="I480" s="39" t="n"/>
      <c r="J480" s="13">
        <f>IF(N(F480)&gt;0,G480/F480,"")</f>
        <v/>
      </c>
      <c r="K480" s="10">
        <f>IF(N(G480)&gt;0,E480/G480,"")</f>
        <v/>
      </c>
      <c r="L480" s="10">
        <f>IF(N(H480)&gt;0,E480/H480,"")</f>
        <v/>
      </c>
      <c r="M480" s="11">
        <f>IF(N(E480)&gt;0,I480/E480,"")</f>
        <v/>
      </c>
      <c r="N480" s="10">
        <f>IF(AND(E480="",I480=""),"",N(I480)*(1-COM-COM_SHOP)-N(E480)*(1+IMP_META))</f>
        <v/>
      </c>
      <c r="O480" s="37" t="n"/>
    </row>
    <row r="481">
      <c r="A481" s="36" t="n"/>
      <c r="B481" s="37" t="n"/>
      <c r="C481" s="37" t="n"/>
      <c r="D481" s="38">
        <f>IF(C481="","",IFERROR(INDEX(Anuncios!$B$6:$B$65,MATCH(C481,Anuncios!$A$6:$A$65,0)),"(no está en Anuncios)"))</f>
        <v/>
      </c>
      <c r="E481" s="39" t="n"/>
      <c r="F481" s="40" t="n"/>
      <c r="G481" s="40" t="n"/>
      <c r="H481" s="40" t="n"/>
      <c r="I481" s="39" t="n"/>
      <c r="J481" s="13">
        <f>IF(N(F481)&gt;0,G481/F481,"")</f>
        <v/>
      </c>
      <c r="K481" s="10">
        <f>IF(N(G481)&gt;0,E481/G481,"")</f>
        <v/>
      </c>
      <c r="L481" s="10">
        <f>IF(N(H481)&gt;0,E481/H481,"")</f>
        <v/>
      </c>
      <c r="M481" s="11">
        <f>IF(N(E481)&gt;0,I481/E481,"")</f>
        <v/>
      </c>
      <c r="N481" s="10">
        <f>IF(AND(E481="",I481=""),"",N(I481)*(1-COM-COM_SHOP)-N(E481)*(1+IMP_META))</f>
        <v/>
      </c>
      <c r="O481" s="37" t="n"/>
    </row>
    <row r="482">
      <c r="A482" s="36" t="n"/>
      <c r="B482" s="37" t="n"/>
      <c r="C482" s="37" t="n"/>
      <c r="D482" s="38">
        <f>IF(C482="","",IFERROR(INDEX(Anuncios!$B$6:$B$65,MATCH(C482,Anuncios!$A$6:$A$65,0)),"(no está en Anuncios)"))</f>
        <v/>
      </c>
      <c r="E482" s="39" t="n"/>
      <c r="F482" s="40" t="n"/>
      <c r="G482" s="40" t="n"/>
      <c r="H482" s="40" t="n"/>
      <c r="I482" s="39" t="n"/>
      <c r="J482" s="13">
        <f>IF(N(F482)&gt;0,G482/F482,"")</f>
        <v/>
      </c>
      <c r="K482" s="10">
        <f>IF(N(G482)&gt;0,E482/G482,"")</f>
        <v/>
      </c>
      <c r="L482" s="10">
        <f>IF(N(H482)&gt;0,E482/H482,"")</f>
        <v/>
      </c>
      <c r="M482" s="11">
        <f>IF(N(E482)&gt;0,I482/E482,"")</f>
        <v/>
      </c>
      <c r="N482" s="10">
        <f>IF(AND(E482="",I482=""),"",N(I482)*(1-COM-COM_SHOP)-N(E482)*(1+IMP_META))</f>
        <v/>
      </c>
      <c r="O482" s="37" t="n"/>
    </row>
    <row r="483">
      <c r="A483" s="36" t="n"/>
      <c r="B483" s="37" t="n"/>
      <c r="C483" s="37" t="n"/>
      <c r="D483" s="38">
        <f>IF(C483="","",IFERROR(INDEX(Anuncios!$B$6:$B$65,MATCH(C483,Anuncios!$A$6:$A$65,0)),"(no está en Anuncios)"))</f>
        <v/>
      </c>
      <c r="E483" s="39" t="n"/>
      <c r="F483" s="40" t="n"/>
      <c r="G483" s="40" t="n"/>
      <c r="H483" s="40" t="n"/>
      <c r="I483" s="39" t="n"/>
      <c r="J483" s="13">
        <f>IF(N(F483)&gt;0,G483/F483,"")</f>
        <v/>
      </c>
      <c r="K483" s="10">
        <f>IF(N(G483)&gt;0,E483/G483,"")</f>
        <v/>
      </c>
      <c r="L483" s="10">
        <f>IF(N(H483)&gt;0,E483/H483,"")</f>
        <v/>
      </c>
      <c r="M483" s="11">
        <f>IF(N(E483)&gt;0,I483/E483,"")</f>
        <v/>
      </c>
      <c r="N483" s="10">
        <f>IF(AND(E483="",I483=""),"",N(I483)*(1-COM-COM_SHOP)-N(E483)*(1+IMP_META))</f>
        <v/>
      </c>
      <c r="O483" s="37" t="n"/>
    </row>
    <row r="484">
      <c r="A484" s="36" t="n"/>
      <c r="B484" s="37" t="n"/>
      <c r="C484" s="37" t="n"/>
      <c r="D484" s="38">
        <f>IF(C484="","",IFERROR(INDEX(Anuncios!$B$6:$B$65,MATCH(C484,Anuncios!$A$6:$A$65,0)),"(no está en Anuncios)"))</f>
        <v/>
      </c>
      <c r="E484" s="39" t="n"/>
      <c r="F484" s="40" t="n"/>
      <c r="G484" s="40" t="n"/>
      <c r="H484" s="40" t="n"/>
      <c r="I484" s="39" t="n"/>
      <c r="J484" s="13">
        <f>IF(N(F484)&gt;0,G484/F484,"")</f>
        <v/>
      </c>
      <c r="K484" s="10">
        <f>IF(N(G484)&gt;0,E484/G484,"")</f>
        <v/>
      </c>
      <c r="L484" s="10">
        <f>IF(N(H484)&gt;0,E484/H484,"")</f>
        <v/>
      </c>
      <c r="M484" s="11">
        <f>IF(N(E484)&gt;0,I484/E484,"")</f>
        <v/>
      </c>
      <c r="N484" s="10">
        <f>IF(AND(E484="",I484=""),"",N(I484)*(1-COM-COM_SHOP)-N(E484)*(1+IMP_META))</f>
        <v/>
      </c>
      <c r="O484" s="37" t="n"/>
    </row>
    <row r="485">
      <c r="A485" s="36" t="n"/>
      <c r="B485" s="37" t="n"/>
      <c r="C485" s="37" t="n"/>
      <c r="D485" s="38">
        <f>IF(C485="","",IFERROR(INDEX(Anuncios!$B$6:$B$65,MATCH(C485,Anuncios!$A$6:$A$65,0)),"(no está en Anuncios)"))</f>
        <v/>
      </c>
      <c r="E485" s="39" t="n"/>
      <c r="F485" s="40" t="n"/>
      <c r="G485" s="40" t="n"/>
      <c r="H485" s="40" t="n"/>
      <c r="I485" s="39" t="n"/>
      <c r="J485" s="13">
        <f>IF(N(F485)&gt;0,G485/F485,"")</f>
        <v/>
      </c>
      <c r="K485" s="10">
        <f>IF(N(G485)&gt;0,E485/G485,"")</f>
        <v/>
      </c>
      <c r="L485" s="10">
        <f>IF(N(H485)&gt;0,E485/H485,"")</f>
        <v/>
      </c>
      <c r="M485" s="11">
        <f>IF(N(E485)&gt;0,I485/E485,"")</f>
        <v/>
      </c>
      <c r="N485" s="10">
        <f>IF(AND(E485="",I485=""),"",N(I485)*(1-COM-COM_SHOP)-N(E485)*(1+IMP_META))</f>
        <v/>
      </c>
      <c r="O485" s="37" t="n"/>
    </row>
    <row r="486">
      <c r="A486" s="36" t="n"/>
      <c r="B486" s="37" t="n"/>
      <c r="C486" s="37" t="n"/>
      <c r="D486" s="38">
        <f>IF(C486="","",IFERROR(INDEX(Anuncios!$B$6:$B$65,MATCH(C486,Anuncios!$A$6:$A$65,0)),"(no está en Anuncios)"))</f>
        <v/>
      </c>
      <c r="E486" s="39" t="n"/>
      <c r="F486" s="40" t="n"/>
      <c r="G486" s="40" t="n"/>
      <c r="H486" s="40" t="n"/>
      <c r="I486" s="39" t="n"/>
      <c r="J486" s="13">
        <f>IF(N(F486)&gt;0,G486/F486,"")</f>
        <v/>
      </c>
      <c r="K486" s="10">
        <f>IF(N(G486)&gt;0,E486/G486,"")</f>
        <v/>
      </c>
      <c r="L486" s="10">
        <f>IF(N(H486)&gt;0,E486/H486,"")</f>
        <v/>
      </c>
      <c r="M486" s="11">
        <f>IF(N(E486)&gt;0,I486/E486,"")</f>
        <v/>
      </c>
      <c r="N486" s="10">
        <f>IF(AND(E486="",I486=""),"",N(I486)*(1-COM-COM_SHOP)-N(E486)*(1+IMP_META))</f>
        <v/>
      </c>
      <c r="O486" s="37" t="n"/>
    </row>
    <row r="487">
      <c r="A487" s="36" t="n"/>
      <c r="B487" s="37" t="n"/>
      <c r="C487" s="37" t="n"/>
      <c r="D487" s="38">
        <f>IF(C487="","",IFERROR(INDEX(Anuncios!$B$6:$B$65,MATCH(C487,Anuncios!$A$6:$A$65,0)),"(no está en Anuncios)"))</f>
        <v/>
      </c>
      <c r="E487" s="39" t="n"/>
      <c r="F487" s="40" t="n"/>
      <c r="G487" s="40" t="n"/>
      <c r="H487" s="40" t="n"/>
      <c r="I487" s="39" t="n"/>
      <c r="J487" s="13">
        <f>IF(N(F487)&gt;0,G487/F487,"")</f>
        <v/>
      </c>
      <c r="K487" s="10">
        <f>IF(N(G487)&gt;0,E487/G487,"")</f>
        <v/>
      </c>
      <c r="L487" s="10">
        <f>IF(N(H487)&gt;0,E487/H487,"")</f>
        <v/>
      </c>
      <c r="M487" s="11">
        <f>IF(N(E487)&gt;0,I487/E487,"")</f>
        <v/>
      </c>
      <c r="N487" s="10">
        <f>IF(AND(E487="",I487=""),"",N(I487)*(1-COM-COM_SHOP)-N(E487)*(1+IMP_META))</f>
        <v/>
      </c>
      <c r="O487" s="37" t="n"/>
    </row>
    <row r="488">
      <c r="A488" s="36" t="n"/>
      <c r="B488" s="37" t="n"/>
      <c r="C488" s="37" t="n"/>
      <c r="D488" s="38">
        <f>IF(C488="","",IFERROR(INDEX(Anuncios!$B$6:$B$65,MATCH(C488,Anuncios!$A$6:$A$65,0)),"(no está en Anuncios)"))</f>
        <v/>
      </c>
      <c r="E488" s="39" t="n"/>
      <c r="F488" s="40" t="n"/>
      <c r="G488" s="40" t="n"/>
      <c r="H488" s="40" t="n"/>
      <c r="I488" s="39" t="n"/>
      <c r="J488" s="13">
        <f>IF(N(F488)&gt;0,G488/F488,"")</f>
        <v/>
      </c>
      <c r="K488" s="10">
        <f>IF(N(G488)&gt;0,E488/G488,"")</f>
        <v/>
      </c>
      <c r="L488" s="10">
        <f>IF(N(H488)&gt;0,E488/H488,"")</f>
        <v/>
      </c>
      <c r="M488" s="11">
        <f>IF(N(E488)&gt;0,I488/E488,"")</f>
        <v/>
      </c>
      <c r="N488" s="10">
        <f>IF(AND(E488="",I488=""),"",N(I488)*(1-COM-COM_SHOP)-N(E488)*(1+IMP_META))</f>
        <v/>
      </c>
      <c r="O488" s="37" t="n"/>
    </row>
    <row r="489">
      <c r="A489" s="36" t="n"/>
      <c r="B489" s="37" t="n"/>
      <c r="C489" s="37" t="n"/>
      <c r="D489" s="38">
        <f>IF(C489="","",IFERROR(INDEX(Anuncios!$B$6:$B$65,MATCH(C489,Anuncios!$A$6:$A$65,0)),"(no está en Anuncios)"))</f>
        <v/>
      </c>
      <c r="E489" s="39" t="n"/>
      <c r="F489" s="40" t="n"/>
      <c r="G489" s="40" t="n"/>
      <c r="H489" s="40" t="n"/>
      <c r="I489" s="39" t="n"/>
      <c r="J489" s="13">
        <f>IF(N(F489)&gt;0,G489/F489,"")</f>
        <v/>
      </c>
      <c r="K489" s="10">
        <f>IF(N(G489)&gt;0,E489/G489,"")</f>
        <v/>
      </c>
      <c r="L489" s="10">
        <f>IF(N(H489)&gt;0,E489/H489,"")</f>
        <v/>
      </c>
      <c r="M489" s="11">
        <f>IF(N(E489)&gt;0,I489/E489,"")</f>
        <v/>
      </c>
      <c r="N489" s="10">
        <f>IF(AND(E489="",I489=""),"",N(I489)*(1-COM-COM_SHOP)-N(E489)*(1+IMP_META))</f>
        <v/>
      </c>
      <c r="O489" s="37" t="n"/>
    </row>
    <row r="490">
      <c r="A490" s="36" t="n"/>
      <c r="B490" s="37" t="n"/>
      <c r="C490" s="37" t="n"/>
      <c r="D490" s="38">
        <f>IF(C490="","",IFERROR(INDEX(Anuncios!$B$6:$B$65,MATCH(C490,Anuncios!$A$6:$A$65,0)),"(no está en Anuncios)"))</f>
        <v/>
      </c>
      <c r="E490" s="39" t="n"/>
      <c r="F490" s="40" t="n"/>
      <c r="G490" s="40" t="n"/>
      <c r="H490" s="40" t="n"/>
      <c r="I490" s="39" t="n"/>
      <c r="J490" s="13">
        <f>IF(N(F490)&gt;0,G490/F490,"")</f>
        <v/>
      </c>
      <c r="K490" s="10">
        <f>IF(N(G490)&gt;0,E490/G490,"")</f>
        <v/>
      </c>
      <c r="L490" s="10">
        <f>IF(N(H490)&gt;0,E490/H490,"")</f>
        <v/>
      </c>
      <c r="M490" s="11">
        <f>IF(N(E490)&gt;0,I490/E490,"")</f>
        <v/>
      </c>
      <c r="N490" s="10">
        <f>IF(AND(E490="",I490=""),"",N(I490)*(1-COM-COM_SHOP)-N(E490)*(1+IMP_META))</f>
        <v/>
      </c>
      <c r="O490" s="37" t="n"/>
    </row>
    <row r="491">
      <c r="A491" s="36" t="n"/>
      <c r="B491" s="37" t="n"/>
      <c r="C491" s="37" t="n"/>
      <c r="D491" s="38">
        <f>IF(C491="","",IFERROR(INDEX(Anuncios!$B$6:$B$65,MATCH(C491,Anuncios!$A$6:$A$65,0)),"(no está en Anuncios)"))</f>
        <v/>
      </c>
      <c r="E491" s="39" t="n"/>
      <c r="F491" s="40" t="n"/>
      <c r="G491" s="40" t="n"/>
      <c r="H491" s="40" t="n"/>
      <c r="I491" s="39" t="n"/>
      <c r="J491" s="13">
        <f>IF(N(F491)&gt;0,G491/F491,"")</f>
        <v/>
      </c>
      <c r="K491" s="10">
        <f>IF(N(G491)&gt;0,E491/G491,"")</f>
        <v/>
      </c>
      <c r="L491" s="10">
        <f>IF(N(H491)&gt;0,E491/H491,"")</f>
        <v/>
      </c>
      <c r="M491" s="11">
        <f>IF(N(E491)&gt;0,I491/E491,"")</f>
        <v/>
      </c>
      <c r="N491" s="10">
        <f>IF(AND(E491="",I491=""),"",N(I491)*(1-COM-COM_SHOP)-N(E491)*(1+IMP_META))</f>
        <v/>
      </c>
      <c r="O491" s="37" t="n"/>
    </row>
    <row r="492">
      <c r="A492" s="36" t="n"/>
      <c r="B492" s="37" t="n"/>
      <c r="C492" s="37" t="n"/>
      <c r="D492" s="38">
        <f>IF(C492="","",IFERROR(INDEX(Anuncios!$B$6:$B$65,MATCH(C492,Anuncios!$A$6:$A$65,0)),"(no está en Anuncios)"))</f>
        <v/>
      </c>
      <c r="E492" s="39" t="n"/>
      <c r="F492" s="40" t="n"/>
      <c r="G492" s="40" t="n"/>
      <c r="H492" s="40" t="n"/>
      <c r="I492" s="39" t="n"/>
      <c r="J492" s="13">
        <f>IF(N(F492)&gt;0,G492/F492,"")</f>
        <v/>
      </c>
      <c r="K492" s="10">
        <f>IF(N(G492)&gt;0,E492/G492,"")</f>
        <v/>
      </c>
      <c r="L492" s="10">
        <f>IF(N(H492)&gt;0,E492/H492,"")</f>
        <v/>
      </c>
      <c r="M492" s="11">
        <f>IF(N(E492)&gt;0,I492/E492,"")</f>
        <v/>
      </c>
      <c r="N492" s="10">
        <f>IF(AND(E492="",I492=""),"",N(I492)*(1-COM-COM_SHOP)-N(E492)*(1+IMP_META))</f>
        <v/>
      </c>
      <c r="O492" s="37" t="n"/>
    </row>
    <row r="493">
      <c r="A493" s="36" t="n"/>
      <c r="B493" s="37" t="n"/>
      <c r="C493" s="37" t="n"/>
      <c r="D493" s="38">
        <f>IF(C493="","",IFERROR(INDEX(Anuncios!$B$6:$B$65,MATCH(C493,Anuncios!$A$6:$A$65,0)),"(no está en Anuncios)"))</f>
        <v/>
      </c>
      <c r="E493" s="39" t="n"/>
      <c r="F493" s="40" t="n"/>
      <c r="G493" s="40" t="n"/>
      <c r="H493" s="40" t="n"/>
      <c r="I493" s="39" t="n"/>
      <c r="J493" s="13">
        <f>IF(N(F493)&gt;0,G493/F493,"")</f>
        <v/>
      </c>
      <c r="K493" s="10">
        <f>IF(N(G493)&gt;0,E493/G493,"")</f>
        <v/>
      </c>
      <c r="L493" s="10">
        <f>IF(N(H493)&gt;0,E493/H493,"")</f>
        <v/>
      </c>
      <c r="M493" s="11">
        <f>IF(N(E493)&gt;0,I493/E493,"")</f>
        <v/>
      </c>
      <c r="N493" s="10">
        <f>IF(AND(E493="",I493=""),"",N(I493)*(1-COM-COM_SHOP)-N(E493)*(1+IMP_META))</f>
        <v/>
      </c>
      <c r="O493" s="37" t="n"/>
    </row>
    <row r="494">
      <c r="A494" s="36" t="n"/>
      <c r="B494" s="37" t="n"/>
      <c r="C494" s="37" t="n"/>
      <c r="D494" s="38">
        <f>IF(C494="","",IFERROR(INDEX(Anuncios!$B$6:$B$65,MATCH(C494,Anuncios!$A$6:$A$65,0)),"(no está en Anuncios)"))</f>
        <v/>
      </c>
      <c r="E494" s="39" t="n"/>
      <c r="F494" s="40" t="n"/>
      <c r="G494" s="40" t="n"/>
      <c r="H494" s="40" t="n"/>
      <c r="I494" s="39" t="n"/>
      <c r="J494" s="13">
        <f>IF(N(F494)&gt;0,G494/F494,"")</f>
        <v/>
      </c>
      <c r="K494" s="10">
        <f>IF(N(G494)&gt;0,E494/G494,"")</f>
        <v/>
      </c>
      <c r="L494" s="10">
        <f>IF(N(H494)&gt;0,E494/H494,"")</f>
        <v/>
      </c>
      <c r="M494" s="11">
        <f>IF(N(E494)&gt;0,I494/E494,"")</f>
        <v/>
      </c>
      <c r="N494" s="10">
        <f>IF(AND(E494="",I494=""),"",N(I494)*(1-COM-COM_SHOP)-N(E494)*(1+IMP_META))</f>
        <v/>
      </c>
      <c r="O494" s="37" t="n"/>
    </row>
    <row r="495">
      <c r="A495" s="36" t="n"/>
      <c r="B495" s="37" t="n"/>
      <c r="C495" s="37" t="n"/>
      <c r="D495" s="38">
        <f>IF(C495="","",IFERROR(INDEX(Anuncios!$B$6:$B$65,MATCH(C495,Anuncios!$A$6:$A$65,0)),"(no está en Anuncios)"))</f>
        <v/>
      </c>
      <c r="E495" s="39" t="n"/>
      <c r="F495" s="40" t="n"/>
      <c r="G495" s="40" t="n"/>
      <c r="H495" s="40" t="n"/>
      <c r="I495" s="39" t="n"/>
      <c r="J495" s="13">
        <f>IF(N(F495)&gt;0,G495/F495,"")</f>
        <v/>
      </c>
      <c r="K495" s="10">
        <f>IF(N(G495)&gt;0,E495/G495,"")</f>
        <v/>
      </c>
      <c r="L495" s="10">
        <f>IF(N(H495)&gt;0,E495/H495,"")</f>
        <v/>
      </c>
      <c r="M495" s="11">
        <f>IF(N(E495)&gt;0,I495/E495,"")</f>
        <v/>
      </c>
      <c r="N495" s="10">
        <f>IF(AND(E495="",I495=""),"",N(I495)*(1-COM-COM_SHOP)-N(E495)*(1+IMP_META))</f>
        <v/>
      </c>
      <c r="O495" s="37" t="n"/>
    </row>
    <row r="496">
      <c r="A496" s="36" t="n"/>
      <c r="B496" s="37" t="n"/>
      <c r="C496" s="37" t="n"/>
      <c r="D496" s="38">
        <f>IF(C496="","",IFERROR(INDEX(Anuncios!$B$6:$B$65,MATCH(C496,Anuncios!$A$6:$A$65,0)),"(no está en Anuncios)"))</f>
        <v/>
      </c>
      <c r="E496" s="39" t="n"/>
      <c r="F496" s="40" t="n"/>
      <c r="G496" s="40" t="n"/>
      <c r="H496" s="40" t="n"/>
      <c r="I496" s="39" t="n"/>
      <c r="J496" s="13">
        <f>IF(N(F496)&gt;0,G496/F496,"")</f>
        <v/>
      </c>
      <c r="K496" s="10">
        <f>IF(N(G496)&gt;0,E496/G496,"")</f>
        <v/>
      </c>
      <c r="L496" s="10">
        <f>IF(N(H496)&gt;0,E496/H496,"")</f>
        <v/>
      </c>
      <c r="M496" s="11">
        <f>IF(N(E496)&gt;0,I496/E496,"")</f>
        <v/>
      </c>
      <c r="N496" s="10">
        <f>IF(AND(E496="",I496=""),"",N(I496)*(1-COM-COM_SHOP)-N(E496)*(1+IMP_META))</f>
        <v/>
      </c>
      <c r="O496" s="37" t="n"/>
    </row>
    <row r="497">
      <c r="A497" s="36" t="n"/>
      <c r="B497" s="37" t="n"/>
      <c r="C497" s="37" t="n"/>
      <c r="D497" s="38">
        <f>IF(C497="","",IFERROR(INDEX(Anuncios!$B$6:$B$65,MATCH(C497,Anuncios!$A$6:$A$65,0)),"(no está en Anuncios)"))</f>
        <v/>
      </c>
      <c r="E497" s="39" t="n"/>
      <c r="F497" s="40" t="n"/>
      <c r="G497" s="40" t="n"/>
      <c r="H497" s="40" t="n"/>
      <c r="I497" s="39" t="n"/>
      <c r="J497" s="13">
        <f>IF(N(F497)&gt;0,G497/F497,"")</f>
        <v/>
      </c>
      <c r="K497" s="10">
        <f>IF(N(G497)&gt;0,E497/G497,"")</f>
        <v/>
      </c>
      <c r="L497" s="10">
        <f>IF(N(H497)&gt;0,E497/H497,"")</f>
        <v/>
      </c>
      <c r="M497" s="11">
        <f>IF(N(E497)&gt;0,I497/E497,"")</f>
        <v/>
      </c>
      <c r="N497" s="10">
        <f>IF(AND(E497="",I497=""),"",N(I497)*(1-COM-COM_SHOP)-N(E497)*(1+IMP_META))</f>
        <v/>
      </c>
      <c r="O497" s="37" t="n"/>
    </row>
    <row r="498">
      <c r="A498" s="36" t="n"/>
      <c r="B498" s="37" t="n"/>
      <c r="C498" s="37" t="n"/>
      <c r="D498" s="38">
        <f>IF(C498="","",IFERROR(INDEX(Anuncios!$B$6:$B$65,MATCH(C498,Anuncios!$A$6:$A$65,0)),"(no está en Anuncios)"))</f>
        <v/>
      </c>
      <c r="E498" s="39" t="n"/>
      <c r="F498" s="40" t="n"/>
      <c r="G498" s="40" t="n"/>
      <c r="H498" s="40" t="n"/>
      <c r="I498" s="39" t="n"/>
      <c r="J498" s="13">
        <f>IF(N(F498)&gt;0,G498/F498,"")</f>
        <v/>
      </c>
      <c r="K498" s="10">
        <f>IF(N(G498)&gt;0,E498/G498,"")</f>
        <v/>
      </c>
      <c r="L498" s="10">
        <f>IF(N(H498)&gt;0,E498/H498,"")</f>
        <v/>
      </c>
      <c r="M498" s="11">
        <f>IF(N(E498)&gt;0,I498/E498,"")</f>
        <v/>
      </c>
      <c r="N498" s="10">
        <f>IF(AND(E498="",I498=""),"",N(I498)*(1-COM-COM_SHOP)-N(E498)*(1+IMP_META))</f>
        <v/>
      </c>
      <c r="O498" s="37" t="n"/>
    </row>
    <row r="499">
      <c r="A499" s="36" t="n"/>
      <c r="B499" s="37" t="n"/>
      <c r="C499" s="37" t="n"/>
      <c r="D499" s="38">
        <f>IF(C499="","",IFERROR(INDEX(Anuncios!$B$6:$B$65,MATCH(C499,Anuncios!$A$6:$A$65,0)),"(no está en Anuncios)"))</f>
        <v/>
      </c>
      <c r="E499" s="39" t="n"/>
      <c r="F499" s="40" t="n"/>
      <c r="G499" s="40" t="n"/>
      <c r="H499" s="40" t="n"/>
      <c r="I499" s="39" t="n"/>
      <c r="J499" s="13">
        <f>IF(N(F499)&gt;0,G499/F499,"")</f>
        <v/>
      </c>
      <c r="K499" s="10">
        <f>IF(N(G499)&gt;0,E499/G499,"")</f>
        <v/>
      </c>
      <c r="L499" s="10">
        <f>IF(N(H499)&gt;0,E499/H499,"")</f>
        <v/>
      </c>
      <c r="M499" s="11">
        <f>IF(N(E499)&gt;0,I499/E499,"")</f>
        <v/>
      </c>
      <c r="N499" s="10">
        <f>IF(AND(E499="",I499=""),"",N(I499)*(1-COM-COM_SHOP)-N(E499)*(1+IMP_META))</f>
        <v/>
      </c>
      <c r="O499" s="37" t="n"/>
    </row>
    <row r="500">
      <c r="A500" s="36" t="n"/>
      <c r="B500" s="37" t="n"/>
      <c r="C500" s="37" t="n"/>
      <c r="D500" s="38">
        <f>IF(C500="","",IFERROR(INDEX(Anuncios!$B$6:$B$65,MATCH(C500,Anuncios!$A$6:$A$65,0)),"(no está en Anuncios)"))</f>
        <v/>
      </c>
      <c r="E500" s="39" t="n"/>
      <c r="F500" s="40" t="n"/>
      <c r="G500" s="40" t="n"/>
      <c r="H500" s="40" t="n"/>
      <c r="I500" s="39" t="n"/>
      <c r="J500" s="13">
        <f>IF(N(F500)&gt;0,G500/F500,"")</f>
        <v/>
      </c>
      <c r="K500" s="10">
        <f>IF(N(G500)&gt;0,E500/G500,"")</f>
        <v/>
      </c>
      <c r="L500" s="10">
        <f>IF(N(H500)&gt;0,E500/H500,"")</f>
        <v/>
      </c>
      <c r="M500" s="11">
        <f>IF(N(E500)&gt;0,I500/E500,"")</f>
        <v/>
      </c>
      <c r="N500" s="10">
        <f>IF(AND(E500="",I500=""),"",N(I500)*(1-COM-COM_SHOP)-N(E500)*(1+IMP_META))</f>
        <v/>
      </c>
      <c r="O500" s="37" t="n"/>
    </row>
    <row r="501">
      <c r="A501" s="36" t="n"/>
      <c r="B501" s="37" t="n"/>
      <c r="C501" s="37" t="n"/>
      <c r="D501" s="38">
        <f>IF(C501="","",IFERROR(INDEX(Anuncios!$B$6:$B$65,MATCH(C501,Anuncios!$A$6:$A$65,0)),"(no está en Anuncios)"))</f>
        <v/>
      </c>
      <c r="E501" s="39" t="n"/>
      <c r="F501" s="40" t="n"/>
      <c r="G501" s="40" t="n"/>
      <c r="H501" s="40" t="n"/>
      <c r="I501" s="39" t="n"/>
      <c r="J501" s="13">
        <f>IF(N(F501)&gt;0,G501/F501,"")</f>
        <v/>
      </c>
      <c r="K501" s="10">
        <f>IF(N(G501)&gt;0,E501/G501,"")</f>
        <v/>
      </c>
      <c r="L501" s="10">
        <f>IF(N(H501)&gt;0,E501/H501,"")</f>
        <v/>
      </c>
      <c r="M501" s="11">
        <f>IF(N(E501)&gt;0,I501/E501,"")</f>
        <v/>
      </c>
      <c r="N501" s="10">
        <f>IF(AND(E501="",I501=""),"",N(I501)*(1-COM-COM_SHOP)-N(E501)*(1+IMP_META))</f>
        <v/>
      </c>
      <c r="O501" s="37" t="n"/>
    </row>
    <row r="502">
      <c r="A502" s="36" t="n"/>
      <c r="B502" s="37" t="n"/>
      <c r="C502" s="37" t="n"/>
      <c r="D502" s="38">
        <f>IF(C502="","",IFERROR(INDEX(Anuncios!$B$6:$B$65,MATCH(C502,Anuncios!$A$6:$A$65,0)),"(no está en Anuncios)"))</f>
        <v/>
      </c>
      <c r="E502" s="39" t="n"/>
      <c r="F502" s="40" t="n"/>
      <c r="G502" s="40" t="n"/>
      <c r="H502" s="40" t="n"/>
      <c r="I502" s="39" t="n"/>
      <c r="J502" s="13">
        <f>IF(N(F502)&gt;0,G502/F502,"")</f>
        <v/>
      </c>
      <c r="K502" s="10">
        <f>IF(N(G502)&gt;0,E502/G502,"")</f>
        <v/>
      </c>
      <c r="L502" s="10">
        <f>IF(N(H502)&gt;0,E502/H502,"")</f>
        <v/>
      </c>
      <c r="M502" s="11">
        <f>IF(N(E502)&gt;0,I502/E502,"")</f>
        <v/>
      </c>
      <c r="N502" s="10">
        <f>IF(AND(E502="",I502=""),"",N(I502)*(1-COM-COM_SHOP)-N(E502)*(1+IMP_META))</f>
        <v/>
      </c>
      <c r="O502" s="37" t="n"/>
    </row>
    <row r="503">
      <c r="A503" s="36" t="n"/>
      <c r="B503" s="37" t="n"/>
      <c r="C503" s="37" t="n"/>
      <c r="D503" s="38">
        <f>IF(C503="","",IFERROR(INDEX(Anuncios!$B$6:$B$65,MATCH(C503,Anuncios!$A$6:$A$65,0)),"(no está en Anuncios)"))</f>
        <v/>
      </c>
      <c r="E503" s="39" t="n"/>
      <c r="F503" s="40" t="n"/>
      <c r="G503" s="40" t="n"/>
      <c r="H503" s="40" t="n"/>
      <c r="I503" s="39" t="n"/>
      <c r="J503" s="13">
        <f>IF(N(F503)&gt;0,G503/F503,"")</f>
        <v/>
      </c>
      <c r="K503" s="10">
        <f>IF(N(G503)&gt;0,E503/G503,"")</f>
        <v/>
      </c>
      <c r="L503" s="10">
        <f>IF(N(H503)&gt;0,E503/H503,"")</f>
        <v/>
      </c>
      <c r="M503" s="11">
        <f>IF(N(E503)&gt;0,I503/E503,"")</f>
        <v/>
      </c>
      <c r="N503" s="10">
        <f>IF(AND(E503="",I503=""),"",N(I503)*(1-COM-COM_SHOP)-N(E503)*(1+IMP_META))</f>
        <v/>
      </c>
      <c r="O503" s="37" t="n"/>
    </row>
    <row r="504">
      <c r="A504" s="36" t="n"/>
      <c r="B504" s="37" t="n"/>
      <c r="C504" s="37" t="n"/>
      <c r="D504" s="38">
        <f>IF(C504="","",IFERROR(INDEX(Anuncios!$B$6:$B$65,MATCH(C504,Anuncios!$A$6:$A$65,0)),"(no está en Anuncios)"))</f>
        <v/>
      </c>
      <c r="E504" s="39" t="n"/>
      <c r="F504" s="40" t="n"/>
      <c r="G504" s="40" t="n"/>
      <c r="H504" s="40" t="n"/>
      <c r="I504" s="39" t="n"/>
      <c r="J504" s="13">
        <f>IF(N(F504)&gt;0,G504/F504,"")</f>
        <v/>
      </c>
      <c r="K504" s="10">
        <f>IF(N(G504)&gt;0,E504/G504,"")</f>
        <v/>
      </c>
      <c r="L504" s="10">
        <f>IF(N(H504)&gt;0,E504/H504,"")</f>
        <v/>
      </c>
      <c r="M504" s="11">
        <f>IF(N(E504)&gt;0,I504/E504,"")</f>
        <v/>
      </c>
      <c r="N504" s="10">
        <f>IF(AND(E504="",I504=""),"",N(I504)*(1-COM-COM_SHOP)-N(E504)*(1+IMP_META))</f>
        <v/>
      </c>
      <c r="O504" s="37" t="n"/>
    </row>
    <row r="505">
      <c r="A505" s="36" t="n"/>
      <c r="B505" s="37" t="n"/>
      <c r="C505" s="37" t="n"/>
      <c r="D505" s="38">
        <f>IF(C505="","",IFERROR(INDEX(Anuncios!$B$6:$B$65,MATCH(C505,Anuncios!$A$6:$A$65,0)),"(no está en Anuncios)"))</f>
        <v/>
      </c>
      <c r="E505" s="39" t="n"/>
      <c r="F505" s="40" t="n"/>
      <c r="G505" s="40" t="n"/>
      <c r="H505" s="40" t="n"/>
      <c r="I505" s="39" t="n"/>
      <c r="J505" s="13">
        <f>IF(N(F505)&gt;0,G505/F505,"")</f>
        <v/>
      </c>
      <c r="K505" s="10">
        <f>IF(N(G505)&gt;0,E505/G505,"")</f>
        <v/>
      </c>
      <c r="L505" s="10">
        <f>IF(N(H505)&gt;0,E505/H505,"")</f>
        <v/>
      </c>
      <c r="M505" s="11">
        <f>IF(N(E505)&gt;0,I505/E505,"")</f>
        <v/>
      </c>
      <c r="N505" s="10">
        <f>IF(AND(E505="",I505=""),"",N(I505)*(1-COM-COM_SHOP)-N(E505)*(1+IMP_META))</f>
        <v/>
      </c>
      <c r="O505" s="37" t="n"/>
    </row>
    <row r="506">
      <c r="A506" s="36" t="n"/>
      <c r="B506" s="37" t="n"/>
      <c r="C506" s="37" t="n"/>
      <c r="D506" s="38">
        <f>IF(C506="","",IFERROR(INDEX(Anuncios!$B$6:$B$65,MATCH(C506,Anuncios!$A$6:$A$65,0)),"(no está en Anuncios)"))</f>
        <v/>
      </c>
      <c r="E506" s="39" t="n"/>
      <c r="F506" s="40" t="n"/>
      <c r="G506" s="40" t="n"/>
      <c r="H506" s="40" t="n"/>
      <c r="I506" s="39" t="n"/>
      <c r="J506" s="13">
        <f>IF(N(F506)&gt;0,G506/F506,"")</f>
        <v/>
      </c>
      <c r="K506" s="10">
        <f>IF(N(G506)&gt;0,E506/G506,"")</f>
        <v/>
      </c>
      <c r="L506" s="10">
        <f>IF(N(H506)&gt;0,E506/H506,"")</f>
        <v/>
      </c>
      <c r="M506" s="11">
        <f>IF(N(E506)&gt;0,I506/E506,"")</f>
        <v/>
      </c>
      <c r="N506" s="10">
        <f>IF(AND(E506="",I506=""),"",N(I506)*(1-COM-COM_SHOP)-N(E506)*(1+IMP_META))</f>
        <v/>
      </c>
      <c r="O506" s="37" t="n"/>
    </row>
    <row r="507">
      <c r="A507" s="36" t="n"/>
      <c r="B507" s="37" t="n"/>
      <c r="C507" s="37" t="n"/>
      <c r="D507" s="38">
        <f>IF(C507="","",IFERROR(INDEX(Anuncios!$B$6:$B$65,MATCH(C507,Anuncios!$A$6:$A$65,0)),"(no está en Anuncios)"))</f>
        <v/>
      </c>
      <c r="E507" s="39" t="n"/>
      <c r="F507" s="40" t="n"/>
      <c r="G507" s="40" t="n"/>
      <c r="H507" s="40" t="n"/>
      <c r="I507" s="39" t="n"/>
      <c r="J507" s="13">
        <f>IF(N(F507)&gt;0,G507/F507,"")</f>
        <v/>
      </c>
      <c r="K507" s="10">
        <f>IF(N(G507)&gt;0,E507/G507,"")</f>
        <v/>
      </c>
      <c r="L507" s="10">
        <f>IF(N(H507)&gt;0,E507/H507,"")</f>
        <v/>
      </c>
      <c r="M507" s="11">
        <f>IF(N(E507)&gt;0,I507/E507,"")</f>
        <v/>
      </c>
      <c r="N507" s="10">
        <f>IF(AND(E507="",I507=""),"",N(I507)*(1-COM-COM_SHOP)-N(E507)*(1+IMP_META))</f>
        <v/>
      </c>
      <c r="O507" s="37" t="n"/>
    </row>
    <row r="508">
      <c r="A508" s="36" t="n"/>
      <c r="B508" s="37" t="n"/>
      <c r="C508" s="37" t="n"/>
      <c r="D508" s="38">
        <f>IF(C508="","",IFERROR(INDEX(Anuncios!$B$6:$B$65,MATCH(C508,Anuncios!$A$6:$A$65,0)),"(no está en Anuncios)"))</f>
        <v/>
      </c>
      <c r="E508" s="39" t="n"/>
      <c r="F508" s="40" t="n"/>
      <c r="G508" s="40" t="n"/>
      <c r="H508" s="40" t="n"/>
      <c r="I508" s="39" t="n"/>
      <c r="J508" s="13">
        <f>IF(N(F508)&gt;0,G508/F508,"")</f>
        <v/>
      </c>
      <c r="K508" s="10">
        <f>IF(N(G508)&gt;0,E508/G508,"")</f>
        <v/>
      </c>
      <c r="L508" s="10">
        <f>IF(N(H508)&gt;0,E508/H508,"")</f>
        <v/>
      </c>
      <c r="M508" s="11">
        <f>IF(N(E508)&gt;0,I508/E508,"")</f>
        <v/>
      </c>
      <c r="N508" s="10">
        <f>IF(AND(E508="",I508=""),"",N(I508)*(1-COM-COM_SHOP)-N(E508)*(1+IMP_META))</f>
        <v/>
      </c>
      <c r="O508" s="37" t="n"/>
    </row>
    <row r="509">
      <c r="A509" s="36" t="n"/>
      <c r="B509" s="37" t="n"/>
      <c r="C509" s="37" t="n"/>
      <c r="D509" s="38">
        <f>IF(C509="","",IFERROR(INDEX(Anuncios!$B$6:$B$65,MATCH(C509,Anuncios!$A$6:$A$65,0)),"(no está en Anuncios)"))</f>
        <v/>
      </c>
      <c r="E509" s="39" t="n"/>
      <c r="F509" s="40" t="n"/>
      <c r="G509" s="40" t="n"/>
      <c r="H509" s="40" t="n"/>
      <c r="I509" s="39" t="n"/>
      <c r="J509" s="13">
        <f>IF(N(F509)&gt;0,G509/F509,"")</f>
        <v/>
      </c>
      <c r="K509" s="10">
        <f>IF(N(G509)&gt;0,E509/G509,"")</f>
        <v/>
      </c>
      <c r="L509" s="10">
        <f>IF(N(H509)&gt;0,E509/H509,"")</f>
        <v/>
      </c>
      <c r="M509" s="11">
        <f>IF(N(E509)&gt;0,I509/E509,"")</f>
        <v/>
      </c>
      <c r="N509" s="10">
        <f>IF(AND(E509="",I509=""),"",N(I509)*(1-COM-COM_SHOP)-N(E509)*(1+IMP_META))</f>
        <v/>
      </c>
      <c r="O509" s="37" t="n"/>
    </row>
    <row r="510">
      <c r="A510" s="36" t="n"/>
      <c r="B510" s="37" t="n"/>
      <c r="C510" s="37" t="n"/>
      <c r="D510" s="38">
        <f>IF(C510="","",IFERROR(INDEX(Anuncios!$B$6:$B$65,MATCH(C510,Anuncios!$A$6:$A$65,0)),"(no está en Anuncios)"))</f>
        <v/>
      </c>
      <c r="E510" s="39" t="n"/>
      <c r="F510" s="40" t="n"/>
      <c r="G510" s="40" t="n"/>
      <c r="H510" s="40" t="n"/>
      <c r="I510" s="39" t="n"/>
      <c r="J510" s="13">
        <f>IF(N(F510)&gt;0,G510/F510,"")</f>
        <v/>
      </c>
      <c r="K510" s="10">
        <f>IF(N(G510)&gt;0,E510/G510,"")</f>
        <v/>
      </c>
      <c r="L510" s="10">
        <f>IF(N(H510)&gt;0,E510/H510,"")</f>
        <v/>
      </c>
      <c r="M510" s="11">
        <f>IF(N(E510)&gt;0,I510/E510,"")</f>
        <v/>
      </c>
      <c r="N510" s="10">
        <f>IF(AND(E510="",I510=""),"",N(I510)*(1-COM-COM_SHOP)-N(E510)*(1+IMP_META))</f>
        <v/>
      </c>
      <c r="O510" s="37" t="n"/>
    </row>
    <row r="511">
      <c r="A511" s="36" t="n"/>
      <c r="B511" s="37" t="n"/>
      <c r="C511" s="37" t="n"/>
      <c r="D511" s="38">
        <f>IF(C511="","",IFERROR(INDEX(Anuncios!$B$6:$B$65,MATCH(C511,Anuncios!$A$6:$A$65,0)),"(no está en Anuncios)"))</f>
        <v/>
      </c>
      <c r="E511" s="39" t="n"/>
      <c r="F511" s="40" t="n"/>
      <c r="G511" s="40" t="n"/>
      <c r="H511" s="40" t="n"/>
      <c r="I511" s="39" t="n"/>
      <c r="J511" s="13">
        <f>IF(N(F511)&gt;0,G511/F511,"")</f>
        <v/>
      </c>
      <c r="K511" s="10">
        <f>IF(N(G511)&gt;0,E511/G511,"")</f>
        <v/>
      </c>
      <c r="L511" s="10">
        <f>IF(N(H511)&gt;0,E511/H511,"")</f>
        <v/>
      </c>
      <c r="M511" s="11">
        <f>IF(N(E511)&gt;0,I511/E511,"")</f>
        <v/>
      </c>
      <c r="N511" s="10">
        <f>IF(AND(E511="",I511=""),"",N(I511)*(1-COM-COM_SHOP)-N(E511)*(1+IMP_META))</f>
        <v/>
      </c>
      <c r="O511" s="37" t="n"/>
    </row>
    <row r="512">
      <c r="A512" s="36" t="n"/>
      <c r="B512" s="37" t="n"/>
      <c r="C512" s="37" t="n"/>
      <c r="D512" s="38">
        <f>IF(C512="","",IFERROR(INDEX(Anuncios!$B$6:$B$65,MATCH(C512,Anuncios!$A$6:$A$65,0)),"(no está en Anuncios)"))</f>
        <v/>
      </c>
      <c r="E512" s="39" t="n"/>
      <c r="F512" s="40" t="n"/>
      <c r="G512" s="40" t="n"/>
      <c r="H512" s="40" t="n"/>
      <c r="I512" s="39" t="n"/>
      <c r="J512" s="13">
        <f>IF(N(F512)&gt;0,G512/F512,"")</f>
        <v/>
      </c>
      <c r="K512" s="10">
        <f>IF(N(G512)&gt;0,E512/G512,"")</f>
        <v/>
      </c>
      <c r="L512" s="10">
        <f>IF(N(H512)&gt;0,E512/H512,"")</f>
        <v/>
      </c>
      <c r="M512" s="11">
        <f>IF(N(E512)&gt;0,I512/E512,"")</f>
        <v/>
      </c>
      <c r="N512" s="10">
        <f>IF(AND(E512="",I512=""),"",N(I512)*(1-COM-COM_SHOP)-N(E512)*(1+IMP_META))</f>
        <v/>
      </c>
      <c r="O512" s="37" t="n"/>
    </row>
    <row r="513">
      <c r="A513" s="36" t="n"/>
      <c r="B513" s="37" t="n"/>
      <c r="C513" s="37" t="n"/>
      <c r="D513" s="38">
        <f>IF(C513="","",IFERROR(INDEX(Anuncios!$B$6:$B$65,MATCH(C513,Anuncios!$A$6:$A$65,0)),"(no está en Anuncios)"))</f>
        <v/>
      </c>
      <c r="E513" s="39" t="n"/>
      <c r="F513" s="40" t="n"/>
      <c r="G513" s="40" t="n"/>
      <c r="H513" s="40" t="n"/>
      <c r="I513" s="39" t="n"/>
      <c r="J513" s="13">
        <f>IF(N(F513)&gt;0,G513/F513,"")</f>
        <v/>
      </c>
      <c r="K513" s="10">
        <f>IF(N(G513)&gt;0,E513/G513,"")</f>
        <v/>
      </c>
      <c r="L513" s="10">
        <f>IF(N(H513)&gt;0,E513/H513,"")</f>
        <v/>
      </c>
      <c r="M513" s="11">
        <f>IF(N(E513)&gt;0,I513/E513,"")</f>
        <v/>
      </c>
      <c r="N513" s="10">
        <f>IF(AND(E513="",I513=""),"",N(I513)*(1-COM-COM_SHOP)-N(E513)*(1+IMP_META))</f>
        <v/>
      </c>
      <c r="O513" s="37" t="n"/>
    </row>
    <row r="514">
      <c r="A514" s="36" t="n"/>
      <c r="B514" s="37" t="n"/>
      <c r="C514" s="37" t="n"/>
      <c r="D514" s="38">
        <f>IF(C514="","",IFERROR(INDEX(Anuncios!$B$6:$B$65,MATCH(C514,Anuncios!$A$6:$A$65,0)),"(no está en Anuncios)"))</f>
        <v/>
      </c>
      <c r="E514" s="39" t="n"/>
      <c r="F514" s="40" t="n"/>
      <c r="G514" s="40" t="n"/>
      <c r="H514" s="40" t="n"/>
      <c r="I514" s="39" t="n"/>
      <c r="J514" s="13">
        <f>IF(N(F514)&gt;0,G514/F514,"")</f>
        <v/>
      </c>
      <c r="K514" s="10">
        <f>IF(N(G514)&gt;0,E514/G514,"")</f>
        <v/>
      </c>
      <c r="L514" s="10">
        <f>IF(N(H514)&gt;0,E514/H514,"")</f>
        <v/>
      </c>
      <c r="M514" s="11">
        <f>IF(N(E514)&gt;0,I514/E514,"")</f>
        <v/>
      </c>
      <c r="N514" s="10">
        <f>IF(AND(E514="",I514=""),"",N(I514)*(1-COM-COM_SHOP)-N(E514)*(1+IMP_META))</f>
        <v/>
      </c>
      <c r="O514" s="37" t="n"/>
    </row>
    <row r="515">
      <c r="A515" s="36" t="n"/>
      <c r="B515" s="37" t="n"/>
      <c r="C515" s="37" t="n"/>
      <c r="D515" s="38">
        <f>IF(C515="","",IFERROR(INDEX(Anuncios!$B$6:$B$65,MATCH(C515,Anuncios!$A$6:$A$65,0)),"(no está en Anuncios)"))</f>
        <v/>
      </c>
      <c r="E515" s="39" t="n"/>
      <c r="F515" s="40" t="n"/>
      <c r="G515" s="40" t="n"/>
      <c r="H515" s="40" t="n"/>
      <c r="I515" s="39" t="n"/>
      <c r="J515" s="13">
        <f>IF(N(F515)&gt;0,G515/F515,"")</f>
        <v/>
      </c>
      <c r="K515" s="10">
        <f>IF(N(G515)&gt;0,E515/G515,"")</f>
        <v/>
      </c>
      <c r="L515" s="10">
        <f>IF(N(H515)&gt;0,E515/H515,"")</f>
        <v/>
      </c>
      <c r="M515" s="11">
        <f>IF(N(E515)&gt;0,I515/E515,"")</f>
        <v/>
      </c>
      <c r="N515" s="10">
        <f>IF(AND(E515="",I515=""),"",N(I515)*(1-COM-COM_SHOP)-N(E515)*(1+IMP_META))</f>
        <v/>
      </c>
      <c r="O515" s="37" t="n"/>
    </row>
    <row r="516">
      <c r="A516" s="36" t="n"/>
      <c r="B516" s="37" t="n"/>
      <c r="C516" s="37" t="n"/>
      <c r="D516" s="38">
        <f>IF(C516="","",IFERROR(INDEX(Anuncios!$B$6:$B$65,MATCH(C516,Anuncios!$A$6:$A$65,0)),"(no está en Anuncios)"))</f>
        <v/>
      </c>
      <c r="E516" s="39" t="n"/>
      <c r="F516" s="40" t="n"/>
      <c r="G516" s="40" t="n"/>
      <c r="H516" s="40" t="n"/>
      <c r="I516" s="39" t="n"/>
      <c r="J516" s="13">
        <f>IF(N(F516)&gt;0,G516/F516,"")</f>
        <v/>
      </c>
      <c r="K516" s="10">
        <f>IF(N(G516)&gt;0,E516/G516,"")</f>
        <v/>
      </c>
      <c r="L516" s="10">
        <f>IF(N(H516)&gt;0,E516/H516,"")</f>
        <v/>
      </c>
      <c r="M516" s="11">
        <f>IF(N(E516)&gt;0,I516/E516,"")</f>
        <v/>
      </c>
      <c r="N516" s="10">
        <f>IF(AND(E516="",I516=""),"",N(I516)*(1-COM-COM_SHOP)-N(E516)*(1+IMP_META))</f>
        <v/>
      </c>
      <c r="O516" s="37" t="n"/>
    </row>
    <row r="517">
      <c r="A517" s="36" t="n"/>
      <c r="B517" s="37" t="n"/>
      <c r="C517" s="37" t="n"/>
      <c r="D517" s="38">
        <f>IF(C517="","",IFERROR(INDEX(Anuncios!$B$6:$B$65,MATCH(C517,Anuncios!$A$6:$A$65,0)),"(no está en Anuncios)"))</f>
        <v/>
      </c>
      <c r="E517" s="39" t="n"/>
      <c r="F517" s="40" t="n"/>
      <c r="G517" s="40" t="n"/>
      <c r="H517" s="40" t="n"/>
      <c r="I517" s="39" t="n"/>
      <c r="J517" s="13">
        <f>IF(N(F517)&gt;0,G517/F517,"")</f>
        <v/>
      </c>
      <c r="K517" s="10">
        <f>IF(N(G517)&gt;0,E517/G517,"")</f>
        <v/>
      </c>
      <c r="L517" s="10">
        <f>IF(N(H517)&gt;0,E517/H517,"")</f>
        <v/>
      </c>
      <c r="M517" s="11">
        <f>IF(N(E517)&gt;0,I517/E517,"")</f>
        <v/>
      </c>
      <c r="N517" s="10">
        <f>IF(AND(E517="",I517=""),"",N(I517)*(1-COM-COM_SHOP)-N(E517)*(1+IMP_META))</f>
        <v/>
      </c>
      <c r="O517" s="37" t="n"/>
    </row>
    <row r="518">
      <c r="A518" s="36" t="n"/>
      <c r="B518" s="37" t="n"/>
      <c r="C518" s="37" t="n"/>
      <c r="D518" s="38">
        <f>IF(C518="","",IFERROR(INDEX(Anuncios!$B$6:$B$65,MATCH(C518,Anuncios!$A$6:$A$65,0)),"(no está en Anuncios)"))</f>
        <v/>
      </c>
      <c r="E518" s="39" t="n"/>
      <c r="F518" s="40" t="n"/>
      <c r="G518" s="40" t="n"/>
      <c r="H518" s="40" t="n"/>
      <c r="I518" s="39" t="n"/>
      <c r="J518" s="13">
        <f>IF(N(F518)&gt;0,G518/F518,"")</f>
        <v/>
      </c>
      <c r="K518" s="10">
        <f>IF(N(G518)&gt;0,E518/G518,"")</f>
        <v/>
      </c>
      <c r="L518" s="10">
        <f>IF(N(H518)&gt;0,E518/H518,"")</f>
        <v/>
      </c>
      <c r="M518" s="11">
        <f>IF(N(E518)&gt;0,I518/E518,"")</f>
        <v/>
      </c>
      <c r="N518" s="10">
        <f>IF(AND(E518="",I518=""),"",N(I518)*(1-COM-COM_SHOP)-N(E518)*(1+IMP_META))</f>
        <v/>
      </c>
      <c r="O518" s="37" t="n"/>
    </row>
    <row r="519">
      <c r="A519" s="36" t="n"/>
      <c r="B519" s="37" t="n"/>
      <c r="C519" s="37" t="n"/>
      <c r="D519" s="38">
        <f>IF(C519="","",IFERROR(INDEX(Anuncios!$B$6:$B$65,MATCH(C519,Anuncios!$A$6:$A$65,0)),"(no está en Anuncios)"))</f>
        <v/>
      </c>
      <c r="E519" s="39" t="n"/>
      <c r="F519" s="40" t="n"/>
      <c r="G519" s="40" t="n"/>
      <c r="H519" s="40" t="n"/>
      <c r="I519" s="39" t="n"/>
      <c r="J519" s="13">
        <f>IF(N(F519)&gt;0,G519/F519,"")</f>
        <v/>
      </c>
      <c r="K519" s="10">
        <f>IF(N(G519)&gt;0,E519/G519,"")</f>
        <v/>
      </c>
      <c r="L519" s="10">
        <f>IF(N(H519)&gt;0,E519/H519,"")</f>
        <v/>
      </c>
      <c r="M519" s="11">
        <f>IF(N(E519)&gt;0,I519/E519,"")</f>
        <v/>
      </c>
      <c r="N519" s="10">
        <f>IF(AND(E519="",I519=""),"",N(I519)*(1-COM-COM_SHOP)-N(E519)*(1+IMP_META))</f>
        <v/>
      </c>
      <c r="O519" s="37" t="n"/>
    </row>
    <row r="520">
      <c r="A520" s="36" t="n"/>
      <c r="B520" s="37" t="n"/>
      <c r="C520" s="37" t="n"/>
      <c r="D520" s="38">
        <f>IF(C520="","",IFERROR(INDEX(Anuncios!$B$6:$B$65,MATCH(C520,Anuncios!$A$6:$A$65,0)),"(no está en Anuncios)"))</f>
        <v/>
      </c>
      <c r="E520" s="39" t="n"/>
      <c r="F520" s="40" t="n"/>
      <c r="G520" s="40" t="n"/>
      <c r="H520" s="40" t="n"/>
      <c r="I520" s="39" t="n"/>
      <c r="J520" s="13">
        <f>IF(N(F520)&gt;0,G520/F520,"")</f>
        <v/>
      </c>
      <c r="K520" s="10">
        <f>IF(N(G520)&gt;0,E520/G520,"")</f>
        <v/>
      </c>
      <c r="L520" s="10">
        <f>IF(N(H520)&gt;0,E520/H520,"")</f>
        <v/>
      </c>
      <c r="M520" s="11">
        <f>IF(N(E520)&gt;0,I520/E520,"")</f>
        <v/>
      </c>
      <c r="N520" s="10">
        <f>IF(AND(E520="",I520=""),"",N(I520)*(1-COM-COM_SHOP)-N(E520)*(1+IMP_META))</f>
        <v/>
      </c>
      <c r="O520" s="37" t="n"/>
    </row>
    <row r="521">
      <c r="A521" s="36" t="n"/>
      <c r="B521" s="37" t="n"/>
      <c r="C521" s="37" t="n"/>
      <c r="D521" s="38">
        <f>IF(C521="","",IFERROR(INDEX(Anuncios!$B$6:$B$65,MATCH(C521,Anuncios!$A$6:$A$65,0)),"(no está en Anuncios)"))</f>
        <v/>
      </c>
      <c r="E521" s="39" t="n"/>
      <c r="F521" s="40" t="n"/>
      <c r="G521" s="40" t="n"/>
      <c r="H521" s="40" t="n"/>
      <c r="I521" s="39" t="n"/>
      <c r="J521" s="13">
        <f>IF(N(F521)&gt;0,G521/F521,"")</f>
        <v/>
      </c>
      <c r="K521" s="10">
        <f>IF(N(G521)&gt;0,E521/G521,"")</f>
        <v/>
      </c>
      <c r="L521" s="10">
        <f>IF(N(H521)&gt;0,E521/H521,"")</f>
        <v/>
      </c>
      <c r="M521" s="11">
        <f>IF(N(E521)&gt;0,I521/E521,"")</f>
        <v/>
      </c>
      <c r="N521" s="10">
        <f>IF(AND(E521="",I521=""),"",N(I521)*(1-COM-COM_SHOP)-N(E521)*(1+IMP_META))</f>
        <v/>
      </c>
      <c r="O521" s="37" t="n"/>
    </row>
    <row r="522">
      <c r="A522" s="36" t="n"/>
      <c r="B522" s="37" t="n"/>
      <c r="C522" s="37" t="n"/>
      <c r="D522" s="38">
        <f>IF(C522="","",IFERROR(INDEX(Anuncios!$B$6:$B$65,MATCH(C522,Anuncios!$A$6:$A$65,0)),"(no está en Anuncios)"))</f>
        <v/>
      </c>
      <c r="E522" s="39" t="n"/>
      <c r="F522" s="40" t="n"/>
      <c r="G522" s="40" t="n"/>
      <c r="H522" s="40" t="n"/>
      <c r="I522" s="39" t="n"/>
      <c r="J522" s="13">
        <f>IF(N(F522)&gt;0,G522/F522,"")</f>
        <v/>
      </c>
      <c r="K522" s="10">
        <f>IF(N(G522)&gt;0,E522/G522,"")</f>
        <v/>
      </c>
      <c r="L522" s="10">
        <f>IF(N(H522)&gt;0,E522/H522,"")</f>
        <v/>
      </c>
      <c r="M522" s="11">
        <f>IF(N(E522)&gt;0,I522/E522,"")</f>
        <v/>
      </c>
      <c r="N522" s="10">
        <f>IF(AND(E522="",I522=""),"",N(I522)*(1-COM-COM_SHOP)-N(E522)*(1+IMP_META))</f>
        <v/>
      </c>
      <c r="O522" s="37" t="n"/>
    </row>
    <row r="523">
      <c r="A523" s="36" t="n"/>
      <c r="B523" s="37" t="n"/>
      <c r="C523" s="37" t="n"/>
      <c r="D523" s="38">
        <f>IF(C523="","",IFERROR(INDEX(Anuncios!$B$6:$B$65,MATCH(C523,Anuncios!$A$6:$A$65,0)),"(no está en Anuncios)"))</f>
        <v/>
      </c>
      <c r="E523" s="39" t="n"/>
      <c r="F523" s="40" t="n"/>
      <c r="G523" s="40" t="n"/>
      <c r="H523" s="40" t="n"/>
      <c r="I523" s="39" t="n"/>
      <c r="J523" s="13">
        <f>IF(N(F523)&gt;0,G523/F523,"")</f>
        <v/>
      </c>
      <c r="K523" s="10">
        <f>IF(N(G523)&gt;0,E523/G523,"")</f>
        <v/>
      </c>
      <c r="L523" s="10">
        <f>IF(N(H523)&gt;0,E523/H523,"")</f>
        <v/>
      </c>
      <c r="M523" s="11">
        <f>IF(N(E523)&gt;0,I523/E523,"")</f>
        <v/>
      </c>
      <c r="N523" s="10">
        <f>IF(AND(E523="",I523=""),"",N(I523)*(1-COM-COM_SHOP)-N(E523)*(1+IMP_META))</f>
        <v/>
      </c>
      <c r="O523" s="37" t="n"/>
    </row>
    <row r="524">
      <c r="A524" s="36" t="n"/>
      <c r="B524" s="37" t="n"/>
      <c r="C524" s="37" t="n"/>
      <c r="D524" s="38">
        <f>IF(C524="","",IFERROR(INDEX(Anuncios!$B$6:$B$65,MATCH(C524,Anuncios!$A$6:$A$65,0)),"(no está en Anuncios)"))</f>
        <v/>
      </c>
      <c r="E524" s="39" t="n"/>
      <c r="F524" s="40" t="n"/>
      <c r="G524" s="40" t="n"/>
      <c r="H524" s="40" t="n"/>
      <c r="I524" s="39" t="n"/>
      <c r="J524" s="13">
        <f>IF(N(F524)&gt;0,G524/F524,"")</f>
        <v/>
      </c>
      <c r="K524" s="10">
        <f>IF(N(G524)&gt;0,E524/G524,"")</f>
        <v/>
      </c>
      <c r="L524" s="10">
        <f>IF(N(H524)&gt;0,E524/H524,"")</f>
        <v/>
      </c>
      <c r="M524" s="11">
        <f>IF(N(E524)&gt;0,I524/E524,"")</f>
        <v/>
      </c>
      <c r="N524" s="10">
        <f>IF(AND(E524="",I524=""),"",N(I524)*(1-COM-COM_SHOP)-N(E524)*(1+IMP_META))</f>
        <v/>
      </c>
      <c r="O524" s="37" t="n"/>
    </row>
    <row r="525">
      <c r="A525" s="36" t="n"/>
      <c r="B525" s="37" t="n"/>
      <c r="C525" s="37" t="n"/>
      <c r="D525" s="38">
        <f>IF(C525="","",IFERROR(INDEX(Anuncios!$B$6:$B$65,MATCH(C525,Anuncios!$A$6:$A$65,0)),"(no está en Anuncios)"))</f>
        <v/>
      </c>
      <c r="E525" s="39" t="n"/>
      <c r="F525" s="40" t="n"/>
      <c r="G525" s="40" t="n"/>
      <c r="H525" s="40" t="n"/>
      <c r="I525" s="39" t="n"/>
      <c r="J525" s="13">
        <f>IF(N(F525)&gt;0,G525/F525,"")</f>
        <v/>
      </c>
      <c r="K525" s="10">
        <f>IF(N(G525)&gt;0,E525/G525,"")</f>
        <v/>
      </c>
      <c r="L525" s="10">
        <f>IF(N(H525)&gt;0,E525/H525,"")</f>
        <v/>
      </c>
      <c r="M525" s="11">
        <f>IF(N(E525)&gt;0,I525/E525,"")</f>
        <v/>
      </c>
      <c r="N525" s="10">
        <f>IF(AND(E525="",I525=""),"",N(I525)*(1-COM-COM_SHOP)-N(E525)*(1+IMP_META))</f>
        <v/>
      </c>
      <c r="O525" s="37" t="n"/>
    </row>
    <row r="526">
      <c r="A526" s="36" t="n"/>
      <c r="B526" s="37" t="n"/>
      <c r="C526" s="37" t="n"/>
      <c r="D526" s="38">
        <f>IF(C526="","",IFERROR(INDEX(Anuncios!$B$6:$B$65,MATCH(C526,Anuncios!$A$6:$A$65,0)),"(no está en Anuncios)"))</f>
        <v/>
      </c>
      <c r="E526" s="39" t="n"/>
      <c r="F526" s="40" t="n"/>
      <c r="G526" s="40" t="n"/>
      <c r="H526" s="40" t="n"/>
      <c r="I526" s="39" t="n"/>
      <c r="J526" s="13">
        <f>IF(N(F526)&gt;0,G526/F526,"")</f>
        <v/>
      </c>
      <c r="K526" s="10">
        <f>IF(N(G526)&gt;0,E526/G526,"")</f>
        <v/>
      </c>
      <c r="L526" s="10">
        <f>IF(N(H526)&gt;0,E526/H526,"")</f>
        <v/>
      </c>
      <c r="M526" s="11">
        <f>IF(N(E526)&gt;0,I526/E526,"")</f>
        <v/>
      </c>
      <c r="N526" s="10">
        <f>IF(AND(E526="",I526=""),"",N(I526)*(1-COM-COM_SHOP)-N(E526)*(1+IMP_META))</f>
        <v/>
      </c>
      <c r="O526" s="37" t="n"/>
    </row>
    <row r="527">
      <c r="A527" s="36" t="n"/>
      <c r="B527" s="37" t="n"/>
      <c r="C527" s="37" t="n"/>
      <c r="D527" s="38">
        <f>IF(C527="","",IFERROR(INDEX(Anuncios!$B$6:$B$65,MATCH(C527,Anuncios!$A$6:$A$65,0)),"(no está en Anuncios)"))</f>
        <v/>
      </c>
      <c r="E527" s="39" t="n"/>
      <c r="F527" s="40" t="n"/>
      <c r="G527" s="40" t="n"/>
      <c r="H527" s="40" t="n"/>
      <c r="I527" s="39" t="n"/>
      <c r="J527" s="13">
        <f>IF(N(F527)&gt;0,G527/F527,"")</f>
        <v/>
      </c>
      <c r="K527" s="10">
        <f>IF(N(G527)&gt;0,E527/G527,"")</f>
        <v/>
      </c>
      <c r="L527" s="10">
        <f>IF(N(H527)&gt;0,E527/H527,"")</f>
        <v/>
      </c>
      <c r="M527" s="11">
        <f>IF(N(E527)&gt;0,I527/E527,"")</f>
        <v/>
      </c>
      <c r="N527" s="10">
        <f>IF(AND(E527="",I527=""),"",N(I527)*(1-COM-COM_SHOP)-N(E527)*(1+IMP_META))</f>
        <v/>
      </c>
      <c r="O527" s="37" t="n"/>
    </row>
    <row r="528">
      <c r="A528" s="36" t="n"/>
      <c r="B528" s="37" t="n"/>
      <c r="C528" s="37" t="n"/>
      <c r="D528" s="38">
        <f>IF(C528="","",IFERROR(INDEX(Anuncios!$B$6:$B$65,MATCH(C528,Anuncios!$A$6:$A$65,0)),"(no está en Anuncios)"))</f>
        <v/>
      </c>
      <c r="E528" s="39" t="n"/>
      <c r="F528" s="40" t="n"/>
      <c r="G528" s="40" t="n"/>
      <c r="H528" s="40" t="n"/>
      <c r="I528" s="39" t="n"/>
      <c r="J528" s="13">
        <f>IF(N(F528)&gt;0,G528/F528,"")</f>
        <v/>
      </c>
      <c r="K528" s="10">
        <f>IF(N(G528)&gt;0,E528/G528,"")</f>
        <v/>
      </c>
      <c r="L528" s="10">
        <f>IF(N(H528)&gt;0,E528/H528,"")</f>
        <v/>
      </c>
      <c r="M528" s="11">
        <f>IF(N(E528)&gt;0,I528/E528,"")</f>
        <v/>
      </c>
      <c r="N528" s="10">
        <f>IF(AND(E528="",I528=""),"",N(I528)*(1-COM-COM_SHOP)-N(E528)*(1+IMP_META))</f>
        <v/>
      </c>
      <c r="O528" s="37" t="n"/>
    </row>
    <row r="529">
      <c r="A529" s="36" t="n"/>
      <c r="B529" s="37" t="n"/>
      <c r="C529" s="37" t="n"/>
      <c r="D529" s="38">
        <f>IF(C529="","",IFERROR(INDEX(Anuncios!$B$6:$B$65,MATCH(C529,Anuncios!$A$6:$A$65,0)),"(no está en Anuncios)"))</f>
        <v/>
      </c>
      <c r="E529" s="39" t="n"/>
      <c r="F529" s="40" t="n"/>
      <c r="G529" s="40" t="n"/>
      <c r="H529" s="40" t="n"/>
      <c r="I529" s="39" t="n"/>
      <c r="J529" s="13">
        <f>IF(N(F529)&gt;0,G529/F529,"")</f>
        <v/>
      </c>
      <c r="K529" s="10">
        <f>IF(N(G529)&gt;0,E529/G529,"")</f>
        <v/>
      </c>
      <c r="L529" s="10">
        <f>IF(N(H529)&gt;0,E529/H529,"")</f>
        <v/>
      </c>
      <c r="M529" s="11">
        <f>IF(N(E529)&gt;0,I529/E529,"")</f>
        <v/>
      </c>
      <c r="N529" s="10">
        <f>IF(AND(E529="",I529=""),"",N(I529)*(1-COM-COM_SHOP)-N(E529)*(1+IMP_META))</f>
        <v/>
      </c>
      <c r="O529" s="37" t="n"/>
    </row>
    <row r="530">
      <c r="A530" s="36" t="n"/>
      <c r="B530" s="37" t="n"/>
      <c r="C530" s="37" t="n"/>
      <c r="D530" s="38">
        <f>IF(C530="","",IFERROR(INDEX(Anuncios!$B$6:$B$65,MATCH(C530,Anuncios!$A$6:$A$65,0)),"(no está en Anuncios)"))</f>
        <v/>
      </c>
      <c r="E530" s="39" t="n"/>
      <c r="F530" s="40" t="n"/>
      <c r="G530" s="40" t="n"/>
      <c r="H530" s="40" t="n"/>
      <c r="I530" s="39" t="n"/>
      <c r="J530" s="13">
        <f>IF(N(F530)&gt;0,G530/F530,"")</f>
        <v/>
      </c>
      <c r="K530" s="10">
        <f>IF(N(G530)&gt;0,E530/G530,"")</f>
        <v/>
      </c>
      <c r="L530" s="10">
        <f>IF(N(H530)&gt;0,E530/H530,"")</f>
        <v/>
      </c>
      <c r="M530" s="11">
        <f>IF(N(E530)&gt;0,I530/E530,"")</f>
        <v/>
      </c>
      <c r="N530" s="10">
        <f>IF(AND(E530="",I530=""),"",N(I530)*(1-COM-COM_SHOP)-N(E530)*(1+IMP_META))</f>
        <v/>
      </c>
      <c r="O530" s="37" t="n"/>
    </row>
    <row r="531">
      <c r="A531" s="36" t="n"/>
      <c r="B531" s="37" t="n"/>
      <c r="C531" s="37" t="n"/>
      <c r="D531" s="38">
        <f>IF(C531="","",IFERROR(INDEX(Anuncios!$B$6:$B$65,MATCH(C531,Anuncios!$A$6:$A$65,0)),"(no está en Anuncios)"))</f>
        <v/>
      </c>
      <c r="E531" s="39" t="n"/>
      <c r="F531" s="40" t="n"/>
      <c r="G531" s="40" t="n"/>
      <c r="H531" s="40" t="n"/>
      <c r="I531" s="39" t="n"/>
      <c r="J531" s="13">
        <f>IF(N(F531)&gt;0,G531/F531,"")</f>
        <v/>
      </c>
      <c r="K531" s="10">
        <f>IF(N(G531)&gt;0,E531/G531,"")</f>
        <v/>
      </c>
      <c r="L531" s="10">
        <f>IF(N(H531)&gt;0,E531/H531,"")</f>
        <v/>
      </c>
      <c r="M531" s="11">
        <f>IF(N(E531)&gt;0,I531/E531,"")</f>
        <v/>
      </c>
      <c r="N531" s="10">
        <f>IF(AND(E531="",I531=""),"",N(I531)*(1-COM-COM_SHOP)-N(E531)*(1+IMP_META))</f>
        <v/>
      </c>
      <c r="O531" s="37" t="n"/>
    </row>
    <row r="532">
      <c r="A532" s="36" t="n"/>
      <c r="B532" s="37" t="n"/>
      <c r="C532" s="37" t="n"/>
      <c r="D532" s="38">
        <f>IF(C532="","",IFERROR(INDEX(Anuncios!$B$6:$B$65,MATCH(C532,Anuncios!$A$6:$A$65,0)),"(no está en Anuncios)"))</f>
        <v/>
      </c>
      <c r="E532" s="39" t="n"/>
      <c r="F532" s="40" t="n"/>
      <c r="G532" s="40" t="n"/>
      <c r="H532" s="40" t="n"/>
      <c r="I532" s="39" t="n"/>
      <c r="J532" s="13">
        <f>IF(N(F532)&gt;0,G532/F532,"")</f>
        <v/>
      </c>
      <c r="K532" s="10">
        <f>IF(N(G532)&gt;0,E532/G532,"")</f>
        <v/>
      </c>
      <c r="L532" s="10">
        <f>IF(N(H532)&gt;0,E532/H532,"")</f>
        <v/>
      </c>
      <c r="M532" s="11">
        <f>IF(N(E532)&gt;0,I532/E532,"")</f>
        <v/>
      </c>
      <c r="N532" s="10">
        <f>IF(AND(E532="",I532=""),"",N(I532)*(1-COM-COM_SHOP)-N(E532)*(1+IMP_META))</f>
        <v/>
      </c>
      <c r="O532" s="37" t="n"/>
    </row>
    <row r="533">
      <c r="A533" s="36" t="n"/>
      <c r="B533" s="37" t="n"/>
      <c r="C533" s="37" t="n"/>
      <c r="D533" s="38">
        <f>IF(C533="","",IFERROR(INDEX(Anuncios!$B$6:$B$65,MATCH(C533,Anuncios!$A$6:$A$65,0)),"(no está en Anuncios)"))</f>
        <v/>
      </c>
      <c r="E533" s="39" t="n"/>
      <c r="F533" s="40" t="n"/>
      <c r="G533" s="40" t="n"/>
      <c r="H533" s="40" t="n"/>
      <c r="I533" s="39" t="n"/>
      <c r="J533" s="13">
        <f>IF(N(F533)&gt;0,G533/F533,"")</f>
        <v/>
      </c>
      <c r="K533" s="10">
        <f>IF(N(G533)&gt;0,E533/G533,"")</f>
        <v/>
      </c>
      <c r="L533" s="10">
        <f>IF(N(H533)&gt;0,E533/H533,"")</f>
        <v/>
      </c>
      <c r="M533" s="11">
        <f>IF(N(E533)&gt;0,I533/E533,"")</f>
        <v/>
      </c>
      <c r="N533" s="10">
        <f>IF(AND(E533="",I533=""),"",N(I533)*(1-COM-COM_SHOP)-N(E533)*(1+IMP_META))</f>
        <v/>
      </c>
      <c r="O533" s="37" t="n"/>
    </row>
    <row r="534">
      <c r="A534" s="36" t="n"/>
      <c r="B534" s="37" t="n"/>
      <c r="C534" s="37" t="n"/>
      <c r="D534" s="38">
        <f>IF(C534="","",IFERROR(INDEX(Anuncios!$B$6:$B$65,MATCH(C534,Anuncios!$A$6:$A$65,0)),"(no está en Anuncios)"))</f>
        <v/>
      </c>
      <c r="E534" s="39" t="n"/>
      <c r="F534" s="40" t="n"/>
      <c r="G534" s="40" t="n"/>
      <c r="H534" s="40" t="n"/>
      <c r="I534" s="39" t="n"/>
      <c r="J534" s="13">
        <f>IF(N(F534)&gt;0,G534/F534,"")</f>
        <v/>
      </c>
      <c r="K534" s="10">
        <f>IF(N(G534)&gt;0,E534/G534,"")</f>
        <v/>
      </c>
      <c r="L534" s="10">
        <f>IF(N(H534)&gt;0,E534/H534,"")</f>
        <v/>
      </c>
      <c r="M534" s="11">
        <f>IF(N(E534)&gt;0,I534/E534,"")</f>
        <v/>
      </c>
      <c r="N534" s="10">
        <f>IF(AND(E534="",I534=""),"",N(I534)*(1-COM-COM_SHOP)-N(E534)*(1+IMP_META))</f>
        <v/>
      </c>
      <c r="O534" s="37" t="n"/>
    </row>
    <row r="535">
      <c r="A535" s="36" t="n"/>
      <c r="B535" s="37" t="n"/>
      <c r="C535" s="37" t="n"/>
      <c r="D535" s="38">
        <f>IF(C535="","",IFERROR(INDEX(Anuncios!$B$6:$B$65,MATCH(C535,Anuncios!$A$6:$A$65,0)),"(no está en Anuncios)"))</f>
        <v/>
      </c>
      <c r="E535" s="39" t="n"/>
      <c r="F535" s="40" t="n"/>
      <c r="G535" s="40" t="n"/>
      <c r="H535" s="40" t="n"/>
      <c r="I535" s="39" t="n"/>
      <c r="J535" s="13">
        <f>IF(N(F535)&gt;0,G535/F535,"")</f>
        <v/>
      </c>
      <c r="K535" s="10">
        <f>IF(N(G535)&gt;0,E535/G535,"")</f>
        <v/>
      </c>
      <c r="L535" s="10">
        <f>IF(N(H535)&gt;0,E535/H535,"")</f>
        <v/>
      </c>
      <c r="M535" s="11">
        <f>IF(N(E535)&gt;0,I535/E535,"")</f>
        <v/>
      </c>
      <c r="N535" s="10">
        <f>IF(AND(E535="",I535=""),"",N(I535)*(1-COM-COM_SHOP)-N(E535)*(1+IMP_META))</f>
        <v/>
      </c>
      <c r="O535" s="37" t="n"/>
    </row>
    <row r="536">
      <c r="A536" s="36" t="n"/>
      <c r="B536" s="37" t="n"/>
      <c r="C536" s="37" t="n"/>
      <c r="D536" s="38">
        <f>IF(C536="","",IFERROR(INDEX(Anuncios!$B$6:$B$65,MATCH(C536,Anuncios!$A$6:$A$65,0)),"(no está en Anuncios)"))</f>
        <v/>
      </c>
      <c r="E536" s="39" t="n"/>
      <c r="F536" s="40" t="n"/>
      <c r="G536" s="40" t="n"/>
      <c r="H536" s="40" t="n"/>
      <c r="I536" s="39" t="n"/>
      <c r="J536" s="13">
        <f>IF(N(F536)&gt;0,G536/F536,"")</f>
        <v/>
      </c>
      <c r="K536" s="10">
        <f>IF(N(G536)&gt;0,E536/G536,"")</f>
        <v/>
      </c>
      <c r="L536" s="10">
        <f>IF(N(H536)&gt;0,E536/H536,"")</f>
        <v/>
      </c>
      <c r="M536" s="11">
        <f>IF(N(E536)&gt;0,I536/E536,"")</f>
        <v/>
      </c>
      <c r="N536" s="10">
        <f>IF(AND(E536="",I536=""),"",N(I536)*(1-COM-COM_SHOP)-N(E536)*(1+IMP_META))</f>
        <v/>
      </c>
      <c r="O536" s="37" t="n"/>
    </row>
    <row r="537">
      <c r="A537" s="36" t="n"/>
      <c r="B537" s="37" t="n"/>
      <c r="C537" s="37" t="n"/>
      <c r="D537" s="38">
        <f>IF(C537="","",IFERROR(INDEX(Anuncios!$B$6:$B$65,MATCH(C537,Anuncios!$A$6:$A$65,0)),"(no está en Anuncios)"))</f>
        <v/>
      </c>
      <c r="E537" s="39" t="n"/>
      <c r="F537" s="40" t="n"/>
      <c r="G537" s="40" t="n"/>
      <c r="H537" s="40" t="n"/>
      <c r="I537" s="39" t="n"/>
      <c r="J537" s="13">
        <f>IF(N(F537)&gt;0,G537/F537,"")</f>
        <v/>
      </c>
      <c r="K537" s="10">
        <f>IF(N(G537)&gt;0,E537/G537,"")</f>
        <v/>
      </c>
      <c r="L537" s="10">
        <f>IF(N(H537)&gt;0,E537/H537,"")</f>
        <v/>
      </c>
      <c r="M537" s="11">
        <f>IF(N(E537)&gt;0,I537/E537,"")</f>
        <v/>
      </c>
      <c r="N537" s="10">
        <f>IF(AND(E537="",I537=""),"",N(I537)*(1-COM-COM_SHOP)-N(E537)*(1+IMP_META))</f>
        <v/>
      </c>
      <c r="O537" s="37" t="n"/>
    </row>
    <row r="538">
      <c r="A538" s="36" t="n"/>
      <c r="B538" s="37" t="n"/>
      <c r="C538" s="37" t="n"/>
      <c r="D538" s="38">
        <f>IF(C538="","",IFERROR(INDEX(Anuncios!$B$6:$B$65,MATCH(C538,Anuncios!$A$6:$A$65,0)),"(no está en Anuncios)"))</f>
        <v/>
      </c>
      <c r="E538" s="39" t="n"/>
      <c r="F538" s="40" t="n"/>
      <c r="G538" s="40" t="n"/>
      <c r="H538" s="40" t="n"/>
      <c r="I538" s="39" t="n"/>
      <c r="J538" s="13">
        <f>IF(N(F538)&gt;0,G538/F538,"")</f>
        <v/>
      </c>
      <c r="K538" s="10">
        <f>IF(N(G538)&gt;0,E538/G538,"")</f>
        <v/>
      </c>
      <c r="L538" s="10">
        <f>IF(N(H538)&gt;0,E538/H538,"")</f>
        <v/>
      </c>
      <c r="M538" s="11">
        <f>IF(N(E538)&gt;0,I538/E538,"")</f>
        <v/>
      </c>
      <c r="N538" s="10">
        <f>IF(AND(E538="",I538=""),"",N(I538)*(1-COM-COM_SHOP)-N(E538)*(1+IMP_META))</f>
        <v/>
      </c>
      <c r="O538" s="37" t="n"/>
    </row>
    <row r="539">
      <c r="A539" s="36" t="n"/>
      <c r="B539" s="37" t="n"/>
      <c r="C539" s="37" t="n"/>
      <c r="D539" s="38">
        <f>IF(C539="","",IFERROR(INDEX(Anuncios!$B$6:$B$65,MATCH(C539,Anuncios!$A$6:$A$65,0)),"(no está en Anuncios)"))</f>
        <v/>
      </c>
      <c r="E539" s="39" t="n"/>
      <c r="F539" s="40" t="n"/>
      <c r="G539" s="40" t="n"/>
      <c r="H539" s="40" t="n"/>
      <c r="I539" s="39" t="n"/>
      <c r="J539" s="13">
        <f>IF(N(F539)&gt;0,G539/F539,"")</f>
        <v/>
      </c>
      <c r="K539" s="10">
        <f>IF(N(G539)&gt;0,E539/G539,"")</f>
        <v/>
      </c>
      <c r="L539" s="10">
        <f>IF(N(H539)&gt;0,E539/H539,"")</f>
        <v/>
      </c>
      <c r="M539" s="11">
        <f>IF(N(E539)&gt;0,I539/E539,"")</f>
        <v/>
      </c>
      <c r="N539" s="10">
        <f>IF(AND(E539="",I539=""),"",N(I539)*(1-COM-COM_SHOP)-N(E539)*(1+IMP_META))</f>
        <v/>
      </c>
      <c r="O539" s="37" t="n"/>
    </row>
    <row r="540">
      <c r="A540" s="36" t="n"/>
      <c r="B540" s="37" t="n"/>
      <c r="C540" s="37" t="n"/>
      <c r="D540" s="38">
        <f>IF(C540="","",IFERROR(INDEX(Anuncios!$B$6:$B$65,MATCH(C540,Anuncios!$A$6:$A$65,0)),"(no está en Anuncios)"))</f>
        <v/>
      </c>
      <c r="E540" s="39" t="n"/>
      <c r="F540" s="40" t="n"/>
      <c r="G540" s="40" t="n"/>
      <c r="H540" s="40" t="n"/>
      <c r="I540" s="39" t="n"/>
      <c r="J540" s="13">
        <f>IF(N(F540)&gt;0,G540/F540,"")</f>
        <v/>
      </c>
      <c r="K540" s="10">
        <f>IF(N(G540)&gt;0,E540/G540,"")</f>
        <v/>
      </c>
      <c r="L540" s="10">
        <f>IF(N(H540)&gt;0,E540/H540,"")</f>
        <v/>
      </c>
      <c r="M540" s="11">
        <f>IF(N(E540)&gt;0,I540/E540,"")</f>
        <v/>
      </c>
      <c r="N540" s="10">
        <f>IF(AND(E540="",I540=""),"",N(I540)*(1-COM-COM_SHOP)-N(E540)*(1+IMP_META))</f>
        <v/>
      </c>
      <c r="O540" s="37" t="n"/>
    </row>
    <row r="541">
      <c r="A541" s="36" t="n"/>
      <c r="B541" s="37" t="n"/>
      <c r="C541" s="37" t="n"/>
      <c r="D541" s="38">
        <f>IF(C541="","",IFERROR(INDEX(Anuncios!$B$6:$B$65,MATCH(C541,Anuncios!$A$6:$A$65,0)),"(no está en Anuncios)"))</f>
        <v/>
      </c>
      <c r="E541" s="39" t="n"/>
      <c r="F541" s="40" t="n"/>
      <c r="G541" s="40" t="n"/>
      <c r="H541" s="40" t="n"/>
      <c r="I541" s="39" t="n"/>
      <c r="J541" s="13">
        <f>IF(N(F541)&gt;0,G541/F541,"")</f>
        <v/>
      </c>
      <c r="K541" s="10">
        <f>IF(N(G541)&gt;0,E541/G541,"")</f>
        <v/>
      </c>
      <c r="L541" s="10">
        <f>IF(N(H541)&gt;0,E541/H541,"")</f>
        <v/>
      </c>
      <c r="M541" s="11">
        <f>IF(N(E541)&gt;0,I541/E541,"")</f>
        <v/>
      </c>
      <c r="N541" s="10">
        <f>IF(AND(E541="",I541=""),"",N(I541)*(1-COM-COM_SHOP)-N(E541)*(1+IMP_META))</f>
        <v/>
      </c>
      <c r="O541" s="37" t="n"/>
    </row>
    <row r="542">
      <c r="A542" s="36" t="n"/>
      <c r="B542" s="37" t="n"/>
      <c r="C542" s="37" t="n"/>
      <c r="D542" s="38">
        <f>IF(C542="","",IFERROR(INDEX(Anuncios!$B$6:$B$65,MATCH(C542,Anuncios!$A$6:$A$65,0)),"(no está en Anuncios)"))</f>
        <v/>
      </c>
      <c r="E542" s="39" t="n"/>
      <c r="F542" s="40" t="n"/>
      <c r="G542" s="40" t="n"/>
      <c r="H542" s="40" t="n"/>
      <c r="I542" s="39" t="n"/>
      <c r="J542" s="13">
        <f>IF(N(F542)&gt;0,G542/F542,"")</f>
        <v/>
      </c>
      <c r="K542" s="10">
        <f>IF(N(G542)&gt;0,E542/G542,"")</f>
        <v/>
      </c>
      <c r="L542" s="10">
        <f>IF(N(H542)&gt;0,E542/H542,"")</f>
        <v/>
      </c>
      <c r="M542" s="11">
        <f>IF(N(E542)&gt;0,I542/E542,"")</f>
        <v/>
      </c>
      <c r="N542" s="10">
        <f>IF(AND(E542="",I542=""),"",N(I542)*(1-COM-COM_SHOP)-N(E542)*(1+IMP_META))</f>
        <v/>
      </c>
      <c r="O542" s="37" t="n"/>
    </row>
    <row r="543">
      <c r="A543" s="36" t="n"/>
      <c r="B543" s="37" t="n"/>
      <c r="C543" s="37" t="n"/>
      <c r="D543" s="38">
        <f>IF(C543="","",IFERROR(INDEX(Anuncios!$B$6:$B$65,MATCH(C543,Anuncios!$A$6:$A$65,0)),"(no está en Anuncios)"))</f>
        <v/>
      </c>
      <c r="E543" s="39" t="n"/>
      <c r="F543" s="40" t="n"/>
      <c r="G543" s="40" t="n"/>
      <c r="H543" s="40" t="n"/>
      <c r="I543" s="39" t="n"/>
      <c r="J543" s="13">
        <f>IF(N(F543)&gt;0,G543/F543,"")</f>
        <v/>
      </c>
      <c r="K543" s="10">
        <f>IF(N(G543)&gt;0,E543/G543,"")</f>
        <v/>
      </c>
      <c r="L543" s="10">
        <f>IF(N(H543)&gt;0,E543/H543,"")</f>
        <v/>
      </c>
      <c r="M543" s="11">
        <f>IF(N(E543)&gt;0,I543/E543,"")</f>
        <v/>
      </c>
      <c r="N543" s="10">
        <f>IF(AND(E543="",I543=""),"",N(I543)*(1-COM-COM_SHOP)-N(E543)*(1+IMP_META))</f>
        <v/>
      </c>
      <c r="O543" s="37" t="n"/>
    </row>
    <row r="544">
      <c r="A544" s="36" t="n"/>
      <c r="B544" s="37" t="n"/>
      <c r="C544" s="37" t="n"/>
      <c r="D544" s="38">
        <f>IF(C544="","",IFERROR(INDEX(Anuncios!$B$6:$B$65,MATCH(C544,Anuncios!$A$6:$A$65,0)),"(no está en Anuncios)"))</f>
        <v/>
      </c>
      <c r="E544" s="39" t="n"/>
      <c r="F544" s="40" t="n"/>
      <c r="G544" s="40" t="n"/>
      <c r="H544" s="40" t="n"/>
      <c r="I544" s="39" t="n"/>
      <c r="J544" s="13">
        <f>IF(N(F544)&gt;0,G544/F544,"")</f>
        <v/>
      </c>
      <c r="K544" s="10">
        <f>IF(N(G544)&gt;0,E544/G544,"")</f>
        <v/>
      </c>
      <c r="L544" s="10">
        <f>IF(N(H544)&gt;0,E544/H544,"")</f>
        <v/>
      </c>
      <c r="M544" s="11">
        <f>IF(N(E544)&gt;0,I544/E544,"")</f>
        <v/>
      </c>
      <c r="N544" s="10">
        <f>IF(AND(E544="",I544=""),"",N(I544)*(1-COM-COM_SHOP)-N(E544)*(1+IMP_META))</f>
        <v/>
      </c>
      <c r="O544" s="37" t="n"/>
    </row>
    <row r="545">
      <c r="A545" s="36" t="n"/>
      <c r="B545" s="37" t="n"/>
      <c r="C545" s="37" t="n"/>
      <c r="D545" s="38">
        <f>IF(C545="","",IFERROR(INDEX(Anuncios!$B$6:$B$65,MATCH(C545,Anuncios!$A$6:$A$65,0)),"(no está en Anuncios)"))</f>
        <v/>
      </c>
      <c r="E545" s="39" t="n"/>
      <c r="F545" s="40" t="n"/>
      <c r="G545" s="40" t="n"/>
      <c r="H545" s="40" t="n"/>
      <c r="I545" s="39" t="n"/>
      <c r="J545" s="13">
        <f>IF(N(F545)&gt;0,G545/F545,"")</f>
        <v/>
      </c>
      <c r="K545" s="10">
        <f>IF(N(G545)&gt;0,E545/G545,"")</f>
        <v/>
      </c>
      <c r="L545" s="10">
        <f>IF(N(H545)&gt;0,E545/H545,"")</f>
        <v/>
      </c>
      <c r="M545" s="11">
        <f>IF(N(E545)&gt;0,I545/E545,"")</f>
        <v/>
      </c>
      <c r="N545" s="10">
        <f>IF(AND(E545="",I545=""),"",N(I545)*(1-COM-COM_SHOP)-N(E545)*(1+IMP_META))</f>
        <v/>
      </c>
      <c r="O545" s="37" t="n"/>
    </row>
    <row r="546">
      <c r="A546" s="36" t="n"/>
      <c r="B546" s="37" t="n"/>
      <c r="C546" s="37" t="n"/>
      <c r="D546" s="38">
        <f>IF(C546="","",IFERROR(INDEX(Anuncios!$B$6:$B$65,MATCH(C546,Anuncios!$A$6:$A$65,0)),"(no está en Anuncios)"))</f>
        <v/>
      </c>
      <c r="E546" s="39" t="n"/>
      <c r="F546" s="40" t="n"/>
      <c r="G546" s="40" t="n"/>
      <c r="H546" s="40" t="n"/>
      <c r="I546" s="39" t="n"/>
      <c r="J546" s="13">
        <f>IF(N(F546)&gt;0,G546/F546,"")</f>
        <v/>
      </c>
      <c r="K546" s="10">
        <f>IF(N(G546)&gt;0,E546/G546,"")</f>
        <v/>
      </c>
      <c r="L546" s="10">
        <f>IF(N(H546)&gt;0,E546/H546,"")</f>
        <v/>
      </c>
      <c r="M546" s="11">
        <f>IF(N(E546)&gt;0,I546/E546,"")</f>
        <v/>
      </c>
      <c r="N546" s="10">
        <f>IF(AND(E546="",I546=""),"",N(I546)*(1-COM-COM_SHOP)-N(E546)*(1+IMP_META))</f>
        <v/>
      </c>
      <c r="O546" s="37" t="n"/>
    </row>
    <row r="547">
      <c r="A547" s="36" t="n"/>
      <c r="B547" s="37" t="n"/>
      <c r="C547" s="37" t="n"/>
      <c r="D547" s="38">
        <f>IF(C547="","",IFERROR(INDEX(Anuncios!$B$6:$B$65,MATCH(C547,Anuncios!$A$6:$A$65,0)),"(no está en Anuncios)"))</f>
        <v/>
      </c>
      <c r="E547" s="39" t="n"/>
      <c r="F547" s="40" t="n"/>
      <c r="G547" s="40" t="n"/>
      <c r="H547" s="40" t="n"/>
      <c r="I547" s="39" t="n"/>
      <c r="J547" s="13">
        <f>IF(N(F547)&gt;0,G547/F547,"")</f>
        <v/>
      </c>
      <c r="K547" s="10">
        <f>IF(N(G547)&gt;0,E547/G547,"")</f>
        <v/>
      </c>
      <c r="L547" s="10">
        <f>IF(N(H547)&gt;0,E547/H547,"")</f>
        <v/>
      </c>
      <c r="M547" s="11">
        <f>IF(N(E547)&gt;0,I547/E547,"")</f>
        <v/>
      </c>
      <c r="N547" s="10">
        <f>IF(AND(E547="",I547=""),"",N(I547)*(1-COM-COM_SHOP)-N(E547)*(1+IMP_META))</f>
        <v/>
      </c>
      <c r="O547" s="37" t="n"/>
    </row>
    <row r="548">
      <c r="A548" s="36" t="n"/>
      <c r="B548" s="37" t="n"/>
      <c r="C548" s="37" t="n"/>
      <c r="D548" s="38">
        <f>IF(C548="","",IFERROR(INDEX(Anuncios!$B$6:$B$65,MATCH(C548,Anuncios!$A$6:$A$65,0)),"(no está en Anuncios)"))</f>
        <v/>
      </c>
      <c r="E548" s="39" t="n"/>
      <c r="F548" s="40" t="n"/>
      <c r="G548" s="40" t="n"/>
      <c r="H548" s="40" t="n"/>
      <c r="I548" s="39" t="n"/>
      <c r="J548" s="13">
        <f>IF(N(F548)&gt;0,G548/F548,"")</f>
        <v/>
      </c>
      <c r="K548" s="10">
        <f>IF(N(G548)&gt;0,E548/G548,"")</f>
        <v/>
      </c>
      <c r="L548" s="10">
        <f>IF(N(H548)&gt;0,E548/H548,"")</f>
        <v/>
      </c>
      <c r="M548" s="11">
        <f>IF(N(E548)&gt;0,I548/E548,"")</f>
        <v/>
      </c>
      <c r="N548" s="10">
        <f>IF(AND(E548="",I548=""),"",N(I548)*(1-COM-COM_SHOP)-N(E548)*(1+IMP_META))</f>
        <v/>
      </c>
      <c r="O548" s="37" t="n"/>
    </row>
    <row r="549">
      <c r="A549" s="36" t="n"/>
      <c r="B549" s="37" t="n"/>
      <c r="C549" s="37" t="n"/>
      <c r="D549" s="38">
        <f>IF(C549="","",IFERROR(INDEX(Anuncios!$B$6:$B$65,MATCH(C549,Anuncios!$A$6:$A$65,0)),"(no está en Anuncios)"))</f>
        <v/>
      </c>
      <c r="E549" s="39" t="n"/>
      <c r="F549" s="40" t="n"/>
      <c r="G549" s="40" t="n"/>
      <c r="H549" s="40" t="n"/>
      <c r="I549" s="39" t="n"/>
      <c r="J549" s="13">
        <f>IF(N(F549)&gt;0,G549/F549,"")</f>
        <v/>
      </c>
      <c r="K549" s="10">
        <f>IF(N(G549)&gt;0,E549/G549,"")</f>
        <v/>
      </c>
      <c r="L549" s="10">
        <f>IF(N(H549)&gt;0,E549/H549,"")</f>
        <v/>
      </c>
      <c r="M549" s="11">
        <f>IF(N(E549)&gt;0,I549/E549,"")</f>
        <v/>
      </c>
      <c r="N549" s="10">
        <f>IF(AND(E549="",I549=""),"",N(I549)*(1-COM-COM_SHOP)-N(E549)*(1+IMP_META))</f>
        <v/>
      </c>
      <c r="O549" s="37" t="n"/>
    </row>
    <row r="550">
      <c r="A550" s="36" t="n"/>
      <c r="B550" s="37" t="n"/>
      <c r="C550" s="37" t="n"/>
      <c r="D550" s="38">
        <f>IF(C550="","",IFERROR(INDEX(Anuncios!$B$6:$B$65,MATCH(C550,Anuncios!$A$6:$A$65,0)),"(no está en Anuncios)"))</f>
        <v/>
      </c>
      <c r="E550" s="39" t="n"/>
      <c r="F550" s="40" t="n"/>
      <c r="G550" s="40" t="n"/>
      <c r="H550" s="40" t="n"/>
      <c r="I550" s="39" t="n"/>
      <c r="J550" s="13">
        <f>IF(N(F550)&gt;0,G550/F550,"")</f>
        <v/>
      </c>
      <c r="K550" s="10">
        <f>IF(N(G550)&gt;0,E550/G550,"")</f>
        <v/>
      </c>
      <c r="L550" s="10">
        <f>IF(N(H550)&gt;0,E550/H550,"")</f>
        <v/>
      </c>
      <c r="M550" s="11">
        <f>IF(N(E550)&gt;0,I550/E550,"")</f>
        <v/>
      </c>
      <c r="N550" s="10">
        <f>IF(AND(E550="",I550=""),"",N(I550)*(1-COM-COM_SHOP)-N(E550)*(1+IMP_META))</f>
        <v/>
      </c>
      <c r="O550" s="37" t="n"/>
    </row>
    <row r="551">
      <c r="A551" s="36" t="n"/>
      <c r="B551" s="37" t="n"/>
      <c r="C551" s="37" t="n"/>
      <c r="D551" s="38">
        <f>IF(C551="","",IFERROR(INDEX(Anuncios!$B$6:$B$65,MATCH(C551,Anuncios!$A$6:$A$65,0)),"(no está en Anuncios)"))</f>
        <v/>
      </c>
      <c r="E551" s="39" t="n"/>
      <c r="F551" s="40" t="n"/>
      <c r="G551" s="40" t="n"/>
      <c r="H551" s="40" t="n"/>
      <c r="I551" s="39" t="n"/>
      <c r="J551" s="13">
        <f>IF(N(F551)&gt;0,G551/F551,"")</f>
        <v/>
      </c>
      <c r="K551" s="10">
        <f>IF(N(G551)&gt;0,E551/G551,"")</f>
        <v/>
      </c>
      <c r="L551" s="10">
        <f>IF(N(H551)&gt;0,E551/H551,"")</f>
        <v/>
      </c>
      <c r="M551" s="11">
        <f>IF(N(E551)&gt;0,I551/E551,"")</f>
        <v/>
      </c>
      <c r="N551" s="10">
        <f>IF(AND(E551="",I551=""),"",N(I551)*(1-COM-COM_SHOP)-N(E551)*(1+IMP_META))</f>
        <v/>
      </c>
      <c r="O551" s="37" t="n"/>
    </row>
    <row r="552">
      <c r="A552" s="36" t="n"/>
      <c r="B552" s="37" t="n"/>
      <c r="C552" s="37" t="n"/>
      <c r="D552" s="38">
        <f>IF(C552="","",IFERROR(INDEX(Anuncios!$B$6:$B$65,MATCH(C552,Anuncios!$A$6:$A$65,0)),"(no está en Anuncios)"))</f>
        <v/>
      </c>
      <c r="E552" s="39" t="n"/>
      <c r="F552" s="40" t="n"/>
      <c r="G552" s="40" t="n"/>
      <c r="H552" s="40" t="n"/>
      <c r="I552" s="39" t="n"/>
      <c r="J552" s="13">
        <f>IF(N(F552)&gt;0,G552/F552,"")</f>
        <v/>
      </c>
      <c r="K552" s="10">
        <f>IF(N(G552)&gt;0,E552/G552,"")</f>
        <v/>
      </c>
      <c r="L552" s="10">
        <f>IF(N(H552)&gt;0,E552/H552,"")</f>
        <v/>
      </c>
      <c r="M552" s="11">
        <f>IF(N(E552)&gt;0,I552/E552,"")</f>
        <v/>
      </c>
      <c r="N552" s="10">
        <f>IF(AND(E552="",I552=""),"",N(I552)*(1-COM-COM_SHOP)-N(E552)*(1+IMP_META))</f>
        <v/>
      </c>
      <c r="O552" s="37" t="n"/>
    </row>
    <row r="553">
      <c r="A553" s="36" t="n"/>
      <c r="B553" s="37" t="n"/>
      <c r="C553" s="37" t="n"/>
      <c r="D553" s="38">
        <f>IF(C553="","",IFERROR(INDEX(Anuncios!$B$6:$B$65,MATCH(C553,Anuncios!$A$6:$A$65,0)),"(no está en Anuncios)"))</f>
        <v/>
      </c>
      <c r="E553" s="39" t="n"/>
      <c r="F553" s="40" t="n"/>
      <c r="G553" s="40" t="n"/>
      <c r="H553" s="40" t="n"/>
      <c r="I553" s="39" t="n"/>
      <c r="J553" s="13">
        <f>IF(N(F553)&gt;0,G553/F553,"")</f>
        <v/>
      </c>
      <c r="K553" s="10">
        <f>IF(N(G553)&gt;0,E553/G553,"")</f>
        <v/>
      </c>
      <c r="L553" s="10">
        <f>IF(N(H553)&gt;0,E553/H553,"")</f>
        <v/>
      </c>
      <c r="M553" s="11">
        <f>IF(N(E553)&gt;0,I553/E553,"")</f>
        <v/>
      </c>
      <c r="N553" s="10">
        <f>IF(AND(E553="",I553=""),"",N(I553)*(1-COM-COM_SHOP)-N(E553)*(1+IMP_META))</f>
        <v/>
      </c>
      <c r="O553" s="37" t="n"/>
    </row>
    <row r="554">
      <c r="A554" s="36" t="n"/>
      <c r="B554" s="37" t="n"/>
      <c r="C554" s="37" t="n"/>
      <c r="D554" s="38">
        <f>IF(C554="","",IFERROR(INDEX(Anuncios!$B$6:$B$65,MATCH(C554,Anuncios!$A$6:$A$65,0)),"(no está en Anuncios)"))</f>
        <v/>
      </c>
      <c r="E554" s="39" t="n"/>
      <c r="F554" s="40" t="n"/>
      <c r="G554" s="40" t="n"/>
      <c r="H554" s="40" t="n"/>
      <c r="I554" s="39" t="n"/>
      <c r="J554" s="13">
        <f>IF(N(F554)&gt;0,G554/F554,"")</f>
        <v/>
      </c>
      <c r="K554" s="10">
        <f>IF(N(G554)&gt;0,E554/G554,"")</f>
        <v/>
      </c>
      <c r="L554" s="10">
        <f>IF(N(H554)&gt;0,E554/H554,"")</f>
        <v/>
      </c>
      <c r="M554" s="11">
        <f>IF(N(E554)&gt;0,I554/E554,"")</f>
        <v/>
      </c>
      <c r="N554" s="10">
        <f>IF(AND(E554="",I554=""),"",N(I554)*(1-COM-COM_SHOP)-N(E554)*(1+IMP_META))</f>
        <v/>
      </c>
      <c r="O554" s="37" t="n"/>
    </row>
    <row r="555">
      <c r="A555" s="36" t="n"/>
      <c r="B555" s="37" t="n"/>
      <c r="C555" s="37" t="n"/>
      <c r="D555" s="38">
        <f>IF(C555="","",IFERROR(INDEX(Anuncios!$B$6:$B$65,MATCH(C555,Anuncios!$A$6:$A$65,0)),"(no está en Anuncios)"))</f>
        <v/>
      </c>
      <c r="E555" s="39" t="n"/>
      <c r="F555" s="40" t="n"/>
      <c r="G555" s="40" t="n"/>
      <c r="H555" s="40" t="n"/>
      <c r="I555" s="39" t="n"/>
      <c r="J555" s="13">
        <f>IF(N(F555)&gt;0,G555/F555,"")</f>
        <v/>
      </c>
      <c r="K555" s="10">
        <f>IF(N(G555)&gt;0,E555/G555,"")</f>
        <v/>
      </c>
      <c r="L555" s="10">
        <f>IF(N(H555)&gt;0,E555/H555,"")</f>
        <v/>
      </c>
      <c r="M555" s="11">
        <f>IF(N(E555)&gt;0,I555/E555,"")</f>
        <v/>
      </c>
      <c r="N555" s="10">
        <f>IF(AND(E555="",I555=""),"",N(I555)*(1-COM-COM_SHOP)-N(E555)*(1+IMP_META))</f>
        <v/>
      </c>
      <c r="O555" s="37" t="n"/>
    </row>
    <row r="556">
      <c r="A556" s="36" t="n"/>
      <c r="B556" s="37" t="n"/>
      <c r="C556" s="37" t="n"/>
      <c r="D556" s="38">
        <f>IF(C556="","",IFERROR(INDEX(Anuncios!$B$6:$B$65,MATCH(C556,Anuncios!$A$6:$A$65,0)),"(no está en Anuncios)"))</f>
        <v/>
      </c>
      <c r="E556" s="39" t="n"/>
      <c r="F556" s="40" t="n"/>
      <c r="G556" s="40" t="n"/>
      <c r="H556" s="40" t="n"/>
      <c r="I556" s="39" t="n"/>
      <c r="J556" s="13">
        <f>IF(N(F556)&gt;0,G556/F556,"")</f>
        <v/>
      </c>
      <c r="K556" s="10">
        <f>IF(N(G556)&gt;0,E556/G556,"")</f>
        <v/>
      </c>
      <c r="L556" s="10">
        <f>IF(N(H556)&gt;0,E556/H556,"")</f>
        <v/>
      </c>
      <c r="M556" s="11">
        <f>IF(N(E556)&gt;0,I556/E556,"")</f>
        <v/>
      </c>
      <c r="N556" s="10">
        <f>IF(AND(E556="",I556=""),"",N(I556)*(1-COM-COM_SHOP)-N(E556)*(1+IMP_META))</f>
        <v/>
      </c>
      <c r="O556" s="37" t="n"/>
    </row>
    <row r="557">
      <c r="A557" s="36" t="n"/>
      <c r="B557" s="37" t="n"/>
      <c r="C557" s="37" t="n"/>
      <c r="D557" s="38">
        <f>IF(C557="","",IFERROR(INDEX(Anuncios!$B$6:$B$65,MATCH(C557,Anuncios!$A$6:$A$65,0)),"(no está en Anuncios)"))</f>
        <v/>
      </c>
      <c r="E557" s="39" t="n"/>
      <c r="F557" s="40" t="n"/>
      <c r="G557" s="40" t="n"/>
      <c r="H557" s="40" t="n"/>
      <c r="I557" s="39" t="n"/>
      <c r="J557" s="13">
        <f>IF(N(F557)&gt;0,G557/F557,"")</f>
        <v/>
      </c>
      <c r="K557" s="10">
        <f>IF(N(G557)&gt;0,E557/G557,"")</f>
        <v/>
      </c>
      <c r="L557" s="10">
        <f>IF(N(H557)&gt;0,E557/H557,"")</f>
        <v/>
      </c>
      <c r="M557" s="11">
        <f>IF(N(E557)&gt;0,I557/E557,"")</f>
        <v/>
      </c>
      <c r="N557" s="10">
        <f>IF(AND(E557="",I557=""),"",N(I557)*(1-COM-COM_SHOP)-N(E557)*(1+IMP_META))</f>
        <v/>
      </c>
      <c r="O557" s="37" t="n"/>
    </row>
    <row r="558">
      <c r="A558" s="36" t="n"/>
      <c r="B558" s="37" t="n"/>
      <c r="C558" s="37" t="n"/>
      <c r="D558" s="38">
        <f>IF(C558="","",IFERROR(INDEX(Anuncios!$B$6:$B$65,MATCH(C558,Anuncios!$A$6:$A$65,0)),"(no está en Anuncios)"))</f>
        <v/>
      </c>
      <c r="E558" s="39" t="n"/>
      <c r="F558" s="40" t="n"/>
      <c r="G558" s="40" t="n"/>
      <c r="H558" s="40" t="n"/>
      <c r="I558" s="39" t="n"/>
      <c r="J558" s="13">
        <f>IF(N(F558)&gt;0,G558/F558,"")</f>
        <v/>
      </c>
      <c r="K558" s="10">
        <f>IF(N(G558)&gt;0,E558/G558,"")</f>
        <v/>
      </c>
      <c r="L558" s="10">
        <f>IF(N(H558)&gt;0,E558/H558,"")</f>
        <v/>
      </c>
      <c r="M558" s="11">
        <f>IF(N(E558)&gt;0,I558/E558,"")</f>
        <v/>
      </c>
      <c r="N558" s="10">
        <f>IF(AND(E558="",I558=""),"",N(I558)*(1-COM-COM_SHOP)-N(E558)*(1+IMP_META))</f>
        <v/>
      </c>
      <c r="O558" s="37" t="n"/>
    </row>
    <row r="559">
      <c r="A559" s="36" t="n"/>
      <c r="B559" s="37" t="n"/>
      <c r="C559" s="37" t="n"/>
      <c r="D559" s="38">
        <f>IF(C559="","",IFERROR(INDEX(Anuncios!$B$6:$B$65,MATCH(C559,Anuncios!$A$6:$A$65,0)),"(no está en Anuncios)"))</f>
        <v/>
      </c>
      <c r="E559" s="39" t="n"/>
      <c r="F559" s="40" t="n"/>
      <c r="G559" s="40" t="n"/>
      <c r="H559" s="40" t="n"/>
      <c r="I559" s="39" t="n"/>
      <c r="J559" s="13">
        <f>IF(N(F559)&gt;0,G559/F559,"")</f>
        <v/>
      </c>
      <c r="K559" s="10">
        <f>IF(N(G559)&gt;0,E559/G559,"")</f>
        <v/>
      </c>
      <c r="L559" s="10">
        <f>IF(N(H559)&gt;0,E559/H559,"")</f>
        <v/>
      </c>
      <c r="M559" s="11">
        <f>IF(N(E559)&gt;0,I559/E559,"")</f>
        <v/>
      </c>
      <c r="N559" s="10">
        <f>IF(AND(E559="",I559=""),"",N(I559)*(1-COM-COM_SHOP)-N(E559)*(1+IMP_META))</f>
        <v/>
      </c>
      <c r="O559" s="37" t="n"/>
    </row>
    <row r="560">
      <c r="A560" s="36" t="n"/>
      <c r="B560" s="37" t="n"/>
      <c r="C560" s="37" t="n"/>
      <c r="D560" s="38">
        <f>IF(C560="","",IFERROR(INDEX(Anuncios!$B$6:$B$65,MATCH(C560,Anuncios!$A$6:$A$65,0)),"(no está en Anuncios)"))</f>
        <v/>
      </c>
      <c r="E560" s="39" t="n"/>
      <c r="F560" s="40" t="n"/>
      <c r="G560" s="40" t="n"/>
      <c r="H560" s="40" t="n"/>
      <c r="I560" s="39" t="n"/>
      <c r="J560" s="13">
        <f>IF(N(F560)&gt;0,G560/F560,"")</f>
        <v/>
      </c>
      <c r="K560" s="10">
        <f>IF(N(G560)&gt;0,E560/G560,"")</f>
        <v/>
      </c>
      <c r="L560" s="10">
        <f>IF(N(H560)&gt;0,E560/H560,"")</f>
        <v/>
      </c>
      <c r="M560" s="11">
        <f>IF(N(E560)&gt;0,I560/E560,"")</f>
        <v/>
      </c>
      <c r="N560" s="10">
        <f>IF(AND(E560="",I560=""),"",N(I560)*(1-COM-COM_SHOP)-N(E560)*(1+IMP_META))</f>
        <v/>
      </c>
      <c r="O560" s="37" t="n"/>
    </row>
    <row r="561">
      <c r="A561" s="36" t="n"/>
      <c r="B561" s="37" t="n"/>
      <c r="C561" s="37" t="n"/>
      <c r="D561" s="38">
        <f>IF(C561="","",IFERROR(INDEX(Anuncios!$B$6:$B$65,MATCH(C561,Anuncios!$A$6:$A$65,0)),"(no está en Anuncios)"))</f>
        <v/>
      </c>
      <c r="E561" s="39" t="n"/>
      <c r="F561" s="40" t="n"/>
      <c r="G561" s="40" t="n"/>
      <c r="H561" s="40" t="n"/>
      <c r="I561" s="39" t="n"/>
      <c r="J561" s="13">
        <f>IF(N(F561)&gt;0,G561/F561,"")</f>
        <v/>
      </c>
      <c r="K561" s="10">
        <f>IF(N(G561)&gt;0,E561/G561,"")</f>
        <v/>
      </c>
      <c r="L561" s="10">
        <f>IF(N(H561)&gt;0,E561/H561,"")</f>
        <v/>
      </c>
      <c r="M561" s="11">
        <f>IF(N(E561)&gt;0,I561/E561,"")</f>
        <v/>
      </c>
      <c r="N561" s="10">
        <f>IF(AND(E561="",I561=""),"",N(I561)*(1-COM-COM_SHOP)-N(E561)*(1+IMP_META))</f>
        <v/>
      </c>
      <c r="O561" s="37" t="n"/>
    </row>
    <row r="562">
      <c r="A562" s="36" t="n"/>
      <c r="B562" s="37" t="n"/>
      <c r="C562" s="37" t="n"/>
      <c r="D562" s="38">
        <f>IF(C562="","",IFERROR(INDEX(Anuncios!$B$6:$B$65,MATCH(C562,Anuncios!$A$6:$A$65,0)),"(no está en Anuncios)"))</f>
        <v/>
      </c>
      <c r="E562" s="39" t="n"/>
      <c r="F562" s="40" t="n"/>
      <c r="G562" s="40" t="n"/>
      <c r="H562" s="40" t="n"/>
      <c r="I562" s="39" t="n"/>
      <c r="J562" s="13">
        <f>IF(N(F562)&gt;0,G562/F562,"")</f>
        <v/>
      </c>
      <c r="K562" s="10">
        <f>IF(N(G562)&gt;0,E562/G562,"")</f>
        <v/>
      </c>
      <c r="L562" s="10">
        <f>IF(N(H562)&gt;0,E562/H562,"")</f>
        <v/>
      </c>
      <c r="M562" s="11">
        <f>IF(N(E562)&gt;0,I562/E562,"")</f>
        <v/>
      </c>
      <c r="N562" s="10">
        <f>IF(AND(E562="",I562=""),"",N(I562)*(1-COM-COM_SHOP)-N(E562)*(1+IMP_META))</f>
        <v/>
      </c>
      <c r="O562" s="37" t="n"/>
    </row>
    <row r="563">
      <c r="A563" s="36" t="n"/>
      <c r="B563" s="37" t="n"/>
      <c r="C563" s="37" t="n"/>
      <c r="D563" s="38">
        <f>IF(C563="","",IFERROR(INDEX(Anuncios!$B$6:$B$65,MATCH(C563,Anuncios!$A$6:$A$65,0)),"(no está en Anuncios)"))</f>
        <v/>
      </c>
      <c r="E563" s="39" t="n"/>
      <c r="F563" s="40" t="n"/>
      <c r="G563" s="40" t="n"/>
      <c r="H563" s="40" t="n"/>
      <c r="I563" s="39" t="n"/>
      <c r="J563" s="13">
        <f>IF(N(F563)&gt;0,G563/F563,"")</f>
        <v/>
      </c>
      <c r="K563" s="10">
        <f>IF(N(G563)&gt;0,E563/G563,"")</f>
        <v/>
      </c>
      <c r="L563" s="10">
        <f>IF(N(H563)&gt;0,E563/H563,"")</f>
        <v/>
      </c>
      <c r="M563" s="11">
        <f>IF(N(E563)&gt;0,I563/E563,"")</f>
        <v/>
      </c>
      <c r="N563" s="10">
        <f>IF(AND(E563="",I563=""),"",N(I563)*(1-COM-COM_SHOP)-N(E563)*(1+IMP_META))</f>
        <v/>
      </c>
      <c r="O563" s="37" t="n"/>
    </row>
    <row r="564">
      <c r="A564" s="36" t="n"/>
      <c r="B564" s="37" t="n"/>
      <c r="C564" s="37" t="n"/>
      <c r="D564" s="38">
        <f>IF(C564="","",IFERROR(INDEX(Anuncios!$B$6:$B$65,MATCH(C564,Anuncios!$A$6:$A$65,0)),"(no está en Anuncios)"))</f>
        <v/>
      </c>
      <c r="E564" s="39" t="n"/>
      <c r="F564" s="40" t="n"/>
      <c r="G564" s="40" t="n"/>
      <c r="H564" s="40" t="n"/>
      <c r="I564" s="39" t="n"/>
      <c r="J564" s="13">
        <f>IF(N(F564)&gt;0,G564/F564,"")</f>
        <v/>
      </c>
      <c r="K564" s="10">
        <f>IF(N(G564)&gt;0,E564/G564,"")</f>
        <v/>
      </c>
      <c r="L564" s="10">
        <f>IF(N(H564)&gt;0,E564/H564,"")</f>
        <v/>
      </c>
      <c r="M564" s="11">
        <f>IF(N(E564)&gt;0,I564/E564,"")</f>
        <v/>
      </c>
      <c r="N564" s="10">
        <f>IF(AND(E564="",I564=""),"",N(I564)*(1-COM-COM_SHOP)-N(E564)*(1+IMP_META))</f>
        <v/>
      </c>
      <c r="O564" s="37" t="n"/>
    </row>
    <row r="565">
      <c r="A565" s="36" t="n"/>
      <c r="B565" s="37" t="n"/>
      <c r="C565" s="37" t="n"/>
      <c r="D565" s="38">
        <f>IF(C565="","",IFERROR(INDEX(Anuncios!$B$6:$B$65,MATCH(C565,Anuncios!$A$6:$A$65,0)),"(no está en Anuncios)"))</f>
        <v/>
      </c>
      <c r="E565" s="39" t="n"/>
      <c r="F565" s="40" t="n"/>
      <c r="G565" s="40" t="n"/>
      <c r="H565" s="40" t="n"/>
      <c r="I565" s="39" t="n"/>
      <c r="J565" s="13">
        <f>IF(N(F565)&gt;0,G565/F565,"")</f>
        <v/>
      </c>
      <c r="K565" s="10">
        <f>IF(N(G565)&gt;0,E565/G565,"")</f>
        <v/>
      </c>
      <c r="L565" s="10">
        <f>IF(N(H565)&gt;0,E565/H565,"")</f>
        <v/>
      </c>
      <c r="M565" s="11">
        <f>IF(N(E565)&gt;0,I565/E565,"")</f>
        <v/>
      </c>
      <c r="N565" s="10">
        <f>IF(AND(E565="",I565=""),"",N(I565)*(1-COM-COM_SHOP)-N(E565)*(1+IMP_META))</f>
        <v/>
      </c>
      <c r="O565" s="37" t="n"/>
    </row>
    <row r="566">
      <c r="A566" s="36" t="n"/>
      <c r="B566" s="37" t="n"/>
      <c r="C566" s="37" t="n"/>
      <c r="D566" s="38">
        <f>IF(C566="","",IFERROR(INDEX(Anuncios!$B$6:$B$65,MATCH(C566,Anuncios!$A$6:$A$65,0)),"(no está en Anuncios)"))</f>
        <v/>
      </c>
      <c r="E566" s="39" t="n"/>
      <c r="F566" s="40" t="n"/>
      <c r="G566" s="40" t="n"/>
      <c r="H566" s="40" t="n"/>
      <c r="I566" s="39" t="n"/>
      <c r="J566" s="13">
        <f>IF(N(F566)&gt;0,G566/F566,"")</f>
        <v/>
      </c>
      <c r="K566" s="10">
        <f>IF(N(G566)&gt;0,E566/G566,"")</f>
        <v/>
      </c>
      <c r="L566" s="10">
        <f>IF(N(H566)&gt;0,E566/H566,"")</f>
        <v/>
      </c>
      <c r="M566" s="11">
        <f>IF(N(E566)&gt;0,I566/E566,"")</f>
        <v/>
      </c>
      <c r="N566" s="10">
        <f>IF(AND(E566="",I566=""),"",N(I566)*(1-COM-COM_SHOP)-N(E566)*(1+IMP_META))</f>
        <v/>
      </c>
      <c r="O566" s="37" t="n"/>
    </row>
    <row r="567">
      <c r="A567" s="36" t="n"/>
      <c r="B567" s="37" t="n"/>
      <c r="C567" s="37" t="n"/>
      <c r="D567" s="38">
        <f>IF(C567="","",IFERROR(INDEX(Anuncios!$B$6:$B$65,MATCH(C567,Anuncios!$A$6:$A$65,0)),"(no está en Anuncios)"))</f>
        <v/>
      </c>
      <c r="E567" s="39" t="n"/>
      <c r="F567" s="40" t="n"/>
      <c r="G567" s="40" t="n"/>
      <c r="H567" s="40" t="n"/>
      <c r="I567" s="39" t="n"/>
      <c r="J567" s="13">
        <f>IF(N(F567)&gt;0,G567/F567,"")</f>
        <v/>
      </c>
      <c r="K567" s="10">
        <f>IF(N(G567)&gt;0,E567/G567,"")</f>
        <v/>
      </c>
      <c r="L567" s="10">
        <f>IF(N(H567)&gt;0,E567/H567,"")</f>
        <v/>
      </c>
      <c r="M567" s="11">
        <f>IF(N(E567)&gt;0,I567/E567,"")</f>
        <v/>
      </c>
      <c r="N567" s="10">
        <f>IF(AND(E567="",I567=""),"",N(I567)*(1-COM-COM_SHOP)-N(E567)*(1+IMP_META))</f>
        <v/>
      </c>
      <c r="O567" s="37" t="n"/>
    </row>
    <row r="568">
      <c r="A568" s="36" t="n"/>
      <c r="B568" s="37" t="n"/>
      <c r="C568" s="37" t="n"/>
      <c r="D568" s="38">
        <f>IF(C568="","",IFERROR(INDEX(Anuncios!$B$6:$B$65,MATCH(C568,Anuncios!$A$6:$A$65,0)),"(no está en Anuncios)"))</f>
        <v/>
      </c>
      <c r="E568" s="39" t="n"/>
      <c r="F568" s="40" t="n"/>
      <c r="G568" s="40" t="n"/>
      <c r="H568" s="40" t="n"/>
      <c r="I568" s="39" t="n"/>
      <c r="J568" s="13">
        <f>IF(N(F568)&gt;0,G568/F568,"")</f>
        <v/>
      </c>
      <c r="K568" s="10">
        <f>IF(N(G568)&gt;0,E568/G568,"")</f>
        <v/>
      </c>
      <c r="L568" s="10">
        <f>IF(N(H568)&gt;0,E568/H568,"")</f>
        <v/>
      </c>
      <c r="M568" s="11">
        <f>IF(N(E568)&gt;0,I568/E568,"")</f>
        <v/>
      </c>
      <c r="N568" s="10">
        <f>IF(AND(E568="",I568=""),"",N(I568)*(1-COM-COM_SHOP)-N(E568)*(1+IMP_META))</f>
        <v/>
      </c>
      <c r="O568" s="37" t="n"/>
    </row>
    <row r="569">
      <c r="A569" s="36" t="n"/>
      <c r="B569" s="37" t="n"/>
      <c r="C569" s="37" t="n"/>
      <c r="D569" s="38">
        <f>IF(C569="","",IFERROR(INDEX(Anuncios!$B$6:$B$65,MATCH(C569,Anuncios!$A$6:$A$65,0)),"(no está en Anuncios)"))</f>
        <v/>
      </c>
      <c r="E569" s="39" t="n"/>
      <c r="F569" s="40" t="n"/>
      <c r="G569" s="40" t="n"/>
      <c r="H569" s="40" t="n"/>
      <c r="I569" s="39" t="n"/>
      <c r="J569" s="13">
        <f>IF(N(F569)&gt;0,G569/F569,"")</f>
        <v/>
      </c>
      <c r="K569" s="10">
        <f>IF(N(G569)&gt;0,E569/G569,"")</f>
        <v/>
      </c>
      <c r="L569" s="10">
        <f>IF(N(H569)&gt;0,E569/H569,"")</f>
        <v/>
      </c>
      <c r="M569" s="11">
        <f>IF(N(E569)&gt;0,I569/E569,"")</f>
        <v/>
      </c>
      <c r="N569" s="10">
        <f>IF(AND(E569="",I569=""),"",N(I569)*(1-COM-COM_SHOP)-N(E569)*(1+IMP_META))</f>
        <v/>
      </c>
      <c r="O569" s="37" t="n"/>
    </row>
    <row r="570">
      <c r="A570" s="36" t="n"/>
      <c r="B570" s="37" t="n"/>
      <c r="C570" s="37" t="n"/>
      <c r="D570" s="38">
        <f>IF(C570="","",IFERROR(INDEX(Anuncios!$B$6:$B$65,MATCH(C570,Anuncios!$A$6:$A$65,0)),"(no está en Anuncios)"))</f>
        <v/>
      </c>
      <c r="E570" s="39" t="n"/>
      <c r="F570" s="40" t="n"/>
      <c r="G570" s="40" t="n"/>
      <c r="H570" s="40" t="n"/>
      <c r="I570" s="39" t="n"/>
      <c r="J570" s="13">
        <f>IF(N(F570)&gt;0,G570/F570,"")</f>
        <v/>
      </c>
      <c r="K570" s="10">
        <f>IF(N(G570)&gt;0,E570/G570,"")</f>
        <v/>
      </c>
      <c r="L570" s="10">
        <f>IF(N(H570)&gt;0,E570/H570,"")</f>
        <v/>
      </c>
      <c r="M570" s="11">
        <f>IF(N(E570)&gt;0,I570/E570,"")</f>
        <v/>
      </c>
      <c r="N570" s="10">
        <f>IF(AND(E570="",I570=""),"",N(I570)*(1-COM-COM_SHOP)-N(E570)*(1+IMP_META))</f>
        <v/>
      </c>
      <c r="O570" s="37" t="n"/>
    </row>
    <row r="571">
      <c r="A571" s="36" t="n"/>
      <c r="B571" s="37" t="n"/>
      <c r="C571" s="37" t="n"/>
      <c r="D571" s="38">
        <f>IF(C571="","",IFERROR(INDEX(Anuncios!$B$6:$B$65,MATCH(C571,Anuncios!$A$6:$A$65,0)),"(no está en Anuncios)"))</f>
        <v/>
      </c>
      <c r="E571" s="39" t="n"/>
      <c r="F571" s="40" t="n"/>
      <c r="G571" s="40" t="n"/>
      <c r="H571" s="40" t="n"/>
      <c r="I571" s="39" t="n"/>
      <c r="J571" s="13">
        <f>IF(N(F571)&gt;0,G571/F571,"")</f>
        <v/>
      </c>
      <c r="K571" s="10">
        <f>IF(N(G571)&gt;0,E571/G571,"")</f>
        <v/>
      </c>
      <c r="L571" s="10">
        <f>IF(N(H571)&gt;0,E571/H571,"")</f>
        <v/>
      </c>
      <c r="M571" s="11">
        <f>IF(N(E571)&gt;0,I571/E571,"")</f>
        <v/>
      </c>
      <c r="N571" s="10">
        <f>IF(AND(E571="",I571=""),"",N(I571)*(1-COM-COM_SHOP)-N(E571)*(1+IMP_META))</f>
        <v/>
      </c>
      <c r="O571" s="37" t="n"/>
    </row>
    <row r="572">
      <c r="A572" s="36" t="n"/>
      <c r="B572" s="37" t="n"/>
      <c r="C572" s="37" t="n"/>
      <c r="D572" s="38">
        <f>IF(C572="","",IFERROR(INDEX(Anuncios!$B$6:$B$65,MATCH(C572,Anuncios!$A$6:$A$65,0)),"(no está en Anuncios)"))</f>
        <v/>
      </c>
      <c r="E572" s="39" t="n"/>
      <c r="F572" s="40" t="n"/>
      <c r="G572" s="40" t="n"/>
      <c r="H572" s="40" t="n"/>
      <c r="I572" s="39" t="n"/>
      <c r="J572" s="13">
        <f>IF(N(F572)&gt;0,G572/F572,"")</f>
        <v/>
      </c>
      <c r="K572" s="10">
        <f>IF(N(G572)&gt;0,E572/G572,"")</f>
        <v/>
      </c>
      <c r="L572" s="10">
        <f>IF(N(H572)&gt;0,E572/H572,"")</f>
        <v/>
      </c>
      <c r="M572" s="11">
        <f>IF(N(E572)&gt;0,I572/E572,"")</f>
        <v/>
      </c>
      <c r="N572" s="10">
        <f>IF(AND(E572="",I572=""),"",N(I572)*(1-COM-COM_SHOP)-N(E572)*(1+IMP_META))</f>
        <v/>
      </c>
      <c r="O572" s="37" t="n"/>
    </row>
    <row r="573">
      <c r="A573" s="36" t="n"/>
      <c r="B573" s="37" t="n"/>
      <c r="C573" s="37" t="n"/>
      <c r="D573" s="38">
        <f>IF(C573="","",IFERROR(INDEX(Anuncios!$B$6:$B$65,MATCH(C573,Anuncios!$A$6:$A$65,0)),"(no está en Anuncios)"))</f>
        <v/>
      </c>
      <c r="E573" s="39" t="n"/>
      <c r="F573" s="40" t="n"/>
      <c r="G573" s="40" t="n"/>
      <c r="H573" s="40" t="n"/>
      <c r="I573" s="39" t="n"/>
      <c r="J573" s="13">
        <f>IF(N(F573)&gt;0,G573/F573,"")</f>
        <v/>
      </c>
      <c r="K573" s="10">
        <f>IF(N(G573)&gt;0,E573/G573,"")</f>
        <v/>
      </c>
      <c r="L573" s="10">
        <f>IF(N(H573)&gt;0,E573/H573,"")</f>
        <v/>
      </c>
      <c r="M573" s="11">
        <f>IF(N(E573)&gt;0,I573/E573,"")</f>
        <v/>
      </c>
      <c r="N573" s="10">
        <f>IF(AND(E573="",I573=""),"",N(I573)*(1-COM-COM_SHOP)-N(E573)*(1+IMP_META))</f>
        <v/>
      </c>
      <c r="O573" s="37" t="n"/>
    </row>
    <row r="574">
      <c r="A574" s="36" t="n"/>
      <c r="B574" s="37" t="n"/>
      <c r="C574" s="37" t="n"/>
      <c r="D574" s="38">
        <f>IF(C574="","",IFERROR(INDEX(Anuncios!$B$6:$B$65,MATCH(C574,Anuncios!$A$6:$A$65,0)),"(no está en Anuncios)"))</f>
        <v/>
      </c>
      <c r="E574" s="39" t="n"/>
      <c r="F574" s="40" t="n"/>
      <c r="G574" s="40" t="n"/>
      <c r="H574" s="40" t="n"/>
      <c r="I574" s="39" t="n"/>
      <c r="J574" s="13">
        <f>IF(N(F574)&gt;0,G574/F574,"")</f>
        <v/>
      </c>
      <c r="K574" s="10">
        <f>IF(N(G574)&gt;0,E574/G574,"")</f>
        <v/>
      </c>
      <c r="L574" s="10">
        <f>IF(N(H574)&gt;0,E574/H574,"")</f>
        <v/>
      </c>
      <c r="M574" s="11">
        <f>IF(N(E574)&gt;0,I574/E574,"")</f>
        <v/>
      </c>
      <c r="N574" s="10">
        <f>IF(AND(E574="",I574=""),"",N(I574)*(1-COM-COM_SHOP)-N(E574)*(1+IMP_META))</f>
        <v/>
      </c>
      <c r="O574" s="37" t="n"/>
    </row>
    <row r="575">
      <c r="A575" s="36" t="n"/>
      <c r="B575" s="37" t="n"/>
      <c r="C575" s="37" t="n"/>
      <c r="D575" s="38">
        <f>IF(C575="","",IFERROR(INDEX(Anuncios!$B$6:$B$65,MATCH(C575,Anuncios!$A$6:$A$65,0)),"(no está en Anuncios)"))</f>
        <v/>
      </c>
      <c r="E575" s="39" t="n"/>
      <c r="F575" s="40" t="n"/>
      <c r="G575" s="40" t="n"/>
      <c r="H575" s="40" t="n"/>
      <c r="I575" s="39" t="n"/>
      <c r="J575" s="13">
        <f>IF(N(F575)&gt;0,G575/F575,"")</f>
        <v/>
      </c>
      <c r="K575" s="10">
        <f>IF(N(G575)&gt;0,E575/G575,"")</f>
        <v/>
      </c>
      <c r="L575" s="10">
        <f>IF(N(H575)&gt;0,E575/H575,"")</f>
        <v/>
      </c>
      <c r="M575" s="11">
        <f>IF(N(E575)&gt;0,I575/E575,"")</f>
        <v/>
      </c>
      <c r="N575" s="10">
        <f>IF(AND(E575="",I575=""),"",N(I575)*(1-COM-COM_SHOP)-N(E575)*(1+IMP_META))</f>
        <v/>
      </c>
      <c r="O575" s="37" t="n"/>
    </row>
    <row r="576">
      <c r="A576" s="36" t="n"/>
      <c r="B576" s="37" t="n"/>
      <c r="C576" s="37" t="n"/>
      <c r="D576" s="38">
        <f>IF(C576="","",IFERROR(INDEX(Anuncios!$B$6:$B$65,MATCH(C576,Anuncios!$A$6:$A$65,0)),"(no está en Anuncios)"))</f>
        <v/>
      </c>
      <c r="E576" s="39" t="n"/>
      <c r="F576" s="40" t="n"/>
      <c r="G576" s="40" t="n"/>
      <c r="H576" s="40" t="n"/>
      <c r="I576" s="39" t="n"/>
      <c r="J576" s="13">
        <f>IF(N(F576)&gt;0,G576/F576,"")</f>
        <v/>
      </c>
      <c r="K576" s="10">
        <f>IF(N(G576)&gt;0,E576/G576,"")</f>
        <v/>
      </c>
      <c r="L576" s="10">
        <f>IF(N(H576)&gt;0,E576/H576,"")</f>
        <v/>
      </c>
      <c r="M576" s="11">
        <f>IF(N(E576)&gt;0,I576/E576,"")</f>
        <v/>
      </c>
      <c r="N576" s="10">
        <f>IF(AND(E576="",I576=""),"",N(I576)*(1-COM-COM_SHOP)-N(E576)*(1+IMP_META))</f>
        <v/>
      </c>
      <c r="O576" s="37" t="n"/>
    </row>
    <row r="577">
      <c r="A577" s="36" t="n"/>
      <c r="B577" s="37" t="n"/>
      <c r="C577" s="37" t="n"/>
      <c r="D577" s="38">
        <f>IF(C577="","",IFERROR(INDEX(Anuncios!$B$6:$B$65,MATCH(C577,Anuncios!$A$6:$A$65,0)),"(no está en Anuncios)"))</f>
        <v/>
      </c>
      <c r="E577" s="39" t="n"/>
      <c r="F577" s="40" t="n"/>
      <c r="G577" s="40" t="n"/>
      <c r="H577" s="40" t="n"/>
      <c r="I577" s="39" t="n"/>
      <c r="J577" s="13">
        <f>IF(N(F577)&gt;0,G577/F577,"")</f>
        <v/>
      </c>
      <c r="K577" s="10">
        <f>IF(N(G577)&gt;0,E577/G577,"")</f>
        <v/>
      </c>
      <c r="L577" s="10">
        <f>IF(N(H577)&gt;0,E577/H577,"")</f>
        <v/>
      </c>
      <c r="M577" s="11">
        <f>IF(N(E577)&gt;0,I577/E577,"")</f>
        <v/>
      </c>
      <c r="N577" s="10">
        <f>IF(AND(E577="",I577=""),"",N(I577)*(1-COM-COM_SHOP)-N(E577)*(1+IMP_META))</f>
        <v/>
      </c>
      <c r="O577" s="37" t="n"/>
    </row>
    <row r="578">
      <c r="A578" s="36" t="n"/>
      <c r="B578" s="37" t="n"/>
      <c r="C578" s="37" t="n"/>
      <c r="D578" s="38">
        <f>IF(C578="","",IFERROR(INDEX(Anuncios!$B$6:$B$65,MATCH(C578,Anuncios!$A$6:$A$65,0)),"(no está en Anuncios)"))</f>
        <v/>
      </c>
      <c r="E578" s="39" t="n"/>
      <c r="F578" s="40" t="n"/>
      <c r="G578" s="40" t="n"/>
      <c r="H578" s="40" t="n"/>
      <c r="I578" s="39" t="n"/>
      <c r="J578" s="13">
        <f>IF(N(F578)&gt;0,G578/F578,"")</f>
        <v/>
      </c>
      <c r="K578" s="10">
        <f>IF(N(G578)&gt;0,E578/G578,"")</f>
        <v/>
      </c>
      <c r="L578" s="10">
        <f>IF(N(H578)&gt;0,E578/H578,"")</f>
        <v/>
      </c>
      <c r="M578" s="11">
        <f>IF(N(E578)&gt;0,I578/E578,"")</f>
        <v/>
      </c>
      <c r="N578" s="10">
        <f>IF(AND(E578="",I578=""),"",N(I578)*(1-COM-COM_SHOP)-N(E578)*(1+IMP_META))</f>
        <v/>
      </c>
      <c r="O578" s="37" t="n"/>
    </row>
    <row r="579">
      <c r="A579" s="36" t="n"/>
      <c r="B579" s="37" t="n"/>
      <c r="C579" s="37" t="n"/>
      <c r="D579" s="38">
        <f>IF(C579="","",IFERROR(INDEX(Anuncios!$B$6:$B$65,MATCH(C579,Anuncios!$A$6:$A$65,0)),"(no está en Anuncios)"))</f>
        <v/>
      </c>
      <c r="E579" s="39" t="n"/>
      <c r="F579" s="40" t="n"/>
      <c r="G579" s="40" t="n"/>
      <c r="H579" s="40" t="n"/>
      <c r="I579" s="39" t="n"/>
      <c r="J579" s="13">
        <f>IF(N(F579)&gt;0,G579/F579,"")</f>
        <v/>
      </c>
      <c r="K579" s="10">
        <f>IF(N(G579)&gt;0,E579/G579,"")</f>
        <v/>
      </c>
      <c r="L579" s="10">
        <f>IF(N(H579)&gt;0,E579/H579,"")</f>
        <v/>
      </c>
      <c r="M579" s="11">
        <f>IF(N(E579)&gt;0,I579/E579,"")</f>
        <v/>
      </c>
      <c r="N579" s="10">
        <f>IF(AND(E579="",I579=""),"",N(I579)*(1-COM-COM_SHOP)-N(E579)*(1+IMP_META))</f>
        <v/>
      </c>
      <c r="O579" s="37" t="n"/>
    </row>
    <row r="580">
      <c r="A580" s="36" t="n"/>
      <c r="B580" s="37" t="n"/>
      <c r="C580" s="37" t="n"/>
      <c r="D580" s="38">
        <f>IF(C580="","",IFERROR(INDEX(Anuncios!$B$6:$B$65,MATCH(C580,Anuncios!$A$6:$A$65,0)),"(no está en Anuncios)"))</f>
        <v/>
      </c>
      <c r="E580" s="39" t="n"/>
      <c r="F580" s="40" t="n"/>
      <c r="G580" s="40" t="n"/>
      <c r="H580" s="40" t="n"/>
      <c r="I580" s="39" t="n"/>
      <c r="J580" s="13">
        <f>IF(N(F580)&gt;0,G580/F580,"")</f>
        <v/>
      </c>
      <c r="K580" s="10">
        <f>IF(N(G580)&gt;0,E580/G580,"")</f>
        <v/>
      </c>
      <c r="L580" s="10">
        <f>IF(N(H580)&gt;0,E580/H580,"")</f>
        <v/>
      </c>
      <c r="M580" s="11">
        <f>IF(N(E580)&gt;0,I580/E580,"")</f>
        <v/>
      </c>
      <c r="N580" s="10">
        <f>IF(AND(E580="",I580=""),"",N(I580)*(1-COM-COM_SHOP)-N(E580)*(1+IMP_META))</f>
        <v/>
      </c>
      <c r="O580" s="37" t="n"/>
    </row>
    <row r="581">
      <c r="A581" s="36" t="n"/>
      <c r="B581" s="37" t="n"/>
      <c r="C581" s="37" t="n"/>
      <c r="D581" s="38">
        <f>IF(C581="","",IFERROR(INDEX(Anuncios!$B$6:$B$65,MATCH(C581,Anuncios!$A$6:$A$65,0)),"(no está en Anuncios)"))</f>
        <v/>
      </c>
      <c r="E581" s="39" t="n"/>
      <c r="F581" s="40" t="n"/>
      <c r="G581" s="40" t="n"/>
      <c r="H581" s="40" t="n"/>
      <c r="I581" s="39" t="n"/>
      <c r="J581" s="13">
        <f>IF(N(F581)&gt;0,G581/F581,"")</f>
        <v/>
      </c>
      <c r="K581" s="10">
        <f>IF(N(G581)&gt;0,E581/G581,"")</f>
        <v/>
      </c>
      <c r="L581" s="10">
        <f>IF(N(H581)&gt;0,E581/H581,"")</f>
        <v/>
      </c>
      <c r="M581" s="11">
        <f>IF(N(E581)&gt;0,I581/E581,"")</f>
        <v/>
      </c>
      <c r="N581" s="10">
        <f>IF(AND(E581="",I581=""),"",N(I581)*(1-COM-COM_SHOP)-N(E581)*(1+IMP_META))</f>
        <v/>
      </c>
      <c r="O581" s="37" t="n"/>
    </row>
    <row r="582">
      <c r="A582" s="36" t="n"/>
      <c r="B582" s="37" t="n"/>
      <c r="C582" s="37" t="n"/>
      <c r="D582" s="38">
        <f>IF(C582="","",IFERROR(INDEX(Anuncios!$B$6:$B$65,MATCH(C582,Anuncios!$A$6:$A$65,0)),"(no está en Anuncios)"))</f>
        <v/>
      </c>
      <c r="E582" s="39" t="n"/>
      <c r="F582" s="40" t="n"/>
      <c r="G582" s="40" t="n"/>
      <c r="H582" s="40" t="n"/>
      <c r="I582" s="39" t="n"/>
      <c r="J582" s="13">
        <f>IF(N(F582)&gt;0,G582/F582,"")</f>
        <v/>
      </c>
      <c r="K582" s="10">
        <f>IF(N(G582)&gt;0,E582/G582,"")</f>
        <v/>
      </c>
      <c r="L582" s="10">
        <f>IF(N(H582)&gt;0,E582/H582,"")</f>
        <v/>
      </c>
      <c r="M582" s="11">
        <f>IF(N(E582)&gt;0,I582/E582,"")</f>
        <v/>
      </c>
      <c r="N582" s="10">
        <f>IF(AND(E582="",I582=""),"",N(I582)*(1-COM-COM_SHOP)-N(E582)*(1+IMP_META))</f>
        <v/>
      </c>
      <c r="O582" s="37" t="n"/>
    </row>
    <row r="583">
      <c r="A583" s="36" t="n"/>
      <c r="B583" s="37" t="n"/>
      <c r="C583" s="37" t="n"/>
      <c r="D583" s="38">
        <f>IF(C583="","",IFERROR(INDEX(Anuncios!$B$6:$B$65,MATCH(C583,Anuncios!$A$6:$A$65,0)),"(no está en Anuncios)"))</f>
        <v/>
      </c>
      <c r="E583" s="39" t="n"/>
      <c r="F583" s="40" t="n"/>
      <c r="G583" s="40" t="n"/>
      <c r="H583" s="40" t="n"/>
      <c r="I583" s="39" t="n"/>
      <c r="J583" s="13">
        <f>IF(N(F583)&gt;0,G583/F583,"")</f>
        <v/>
      </c>
      <c r="K583" s="10">
        <f>IF(N(G583)&gt;0,E583/G583,"")</f>
        <v/>
      </c>
      <c r="L583" s="10">
        <f>IF(N(H583)&gt;0,E583/H583,"")</f>
        <v/>
      </c>
      <c r="M583" s="11">
        <f>IF(N(E583)&gt;0,I583/E583,"")</f>
        <v/>
      </c>
      <c r="N583" s="10">
        <f>IF(AND(E583="",I583=""),"",N(I583)*(1-COM-COM_SHOP)-N(E583)*(1+IMP_META))</f>
        <v/>
      </c>
      <c r="O583" s="37" t="n"/>
    </row>
    <row r="584">
      <c r="A584" s="36" t="n"/>
      <c r="B584" s="37" t="n"/>
      <c r="C584" s="37" t="n"/>
      <c r="D584" s="38">
        <f>IF(C584="","",IFERROR(INDEX(Anuncios!$B$6:$B$65,MATCH(C584,Anuncios!$A$6:$A$65,0)),"(no está en Anuncios)"))</f>
        <v/>
      </c>
      <c r="E584" s="39" t="n"/>
      <c r="F584" s="40" t="n"/>
      <c r="G584" s="40" t="n"/>
      <c r="H584" s="40" t="n"/>
      <c r="I584" s="39" t="n"/>
      <c r="J584" s="13">
        <f>IF(N(F584)&gt;0,G584/F584,"")</f>
        <v/>
      </c>
      <c r="K584" s="10">
        <f>IF(N(G584)&gt;0,E584/G584,"")</f>
        <v/>
      </c>
      <c r="L584" s="10">
        <f>IF(N(H584)&gt;0,E584/H584,"")</f>
        <v/>
      </c>
      <c r="M584" s="11">
        <f>IF(N(E584)&gt;0,I584/E584,"")</f>
        <v/>
      </c>
      <c r="N584" s="10">
        <f>IF(AND(E584="",I584=""),"",N(I584)*(1-COM-COM_SHOP)-N(E584)*(1+IMP_META))</f>
        <v/>
      </c>
      <c r="O584" s="37" t="n"/>
    </row>
    <row r="585">
      <c r="A585" s="36" t="n"/>
      <c r="B585" s="37" t="n"/>
      <c r="C585" s="37" t="n"/>
      <c r="D585" s="38">
        <f>IF(C585="","",IFERROR(INDEX(Anuncios!$B$6:$B$65,MATCH(C585,Anuncios!$A$6:$A$65,0)),"(no está en Anuncios)"))</f>
        <v/>
      </c>
      <c r="E585" s="39" t="n"/>
      <c r="F585" s="40" t="n"/>
      <c r="G585" s="40" t="n"/>
      <c r="H585" s="40" t="n"/>
      <c r="I585" s="39" t="n"/>
      <c r="J585" s="13">
        <f>IF(N(F585)&gt;0,G585/F585,"")</f>
        <v/>
      </c>
      <c r="K585" s="10">
        <f>IF(N(G585)&gt;0,E585/G585,"")</f>
        <v/>
      </c>
      <c r="L585" s="10">
        <f>IF(N(H585)&gt;0,E585/H585,"")</f>
        <v/>
      </c>
      <c r="M585" s="11">
        <f>IF(N(E585)&gt;0,I585/E585,"")</f>
        <v/>
      </c>
      <c r="N585" s="10">
        <f>IF(AND(E585="",I585=""),"",N(I585)*(1-COM-COM_SHOP)-N(E585)*(1+IMP_META))</f>
        <v/>
      </c>
      <c r="O585" s="37" t="n"/>
    </row>
    <row r="586">
      <c r="A586" s="36" t="n"/>
      <c r="B586" s="37" t="n"/>
      <c r="C586" s="37" t="n"/>
      <c r="D586" s="38">
        <f>IF(C586="","",IFERROR(INDEX(Anuncios!$B$6:$B$65,MATCH(C586,Anuncios!$A$6:$A$65,0)),"(no está en Anuncios)"))</f>
        <v/>
      </c>
      <c r="E586" s="39" t="n"/>
      <c r="F586" s="40" t="n"/>
      <c r="G586" s="40" t="n"/>
      <c r="H586" s="40" t="n"/>
      <c r="I586" s="39" t="n"/>
      <c r="J586" s="13">
        <f>IF(N(F586)&gt;0,G586/F586,"")</f>
        <v/>
      </c>
      <c r="K586" s="10">
        <f>IF(N(G586)&gt;0,E586/G586,"")</f>
        <v/>
      </c>
      <c r="L586" s="10">
        <f>IF(N(H586)&gt;0,E586/H586,"")</f>
        <v/>
      </c>
      <c r="M586" s="11">
        <f>IF(N(E586)&gt;0,I586/E586,"")</f>
        <v/>
      </c>
      <c r="N586" s="10">
        <f>IF(AND(E586="",I586=""),"",N(I586)*(1-COM-COM_SHOP)-N(E586)*(1+IMP_META))</f>
        <v/>
      </c>
      <c r="O586" s="37" t="n"/>
    </row>
    <row r="587">
      <c r="A587" s="36" t="n"/>
      <c r="B587" s="37" t="n"/>
      <c r="C587" s="37" t="n"/>
      <c r="D587" s="38">
        <f>IF(C587="","",IFERROR(INDEX(Anuncios!$B$6:$B$65,MATCH(C587,Anuncios!$A$6:$A$65,0)),"(no está en Anuncios)"))</f>
        <v/>
      </c>
      <c r="E587" s="39" t="n"/>
      <c r="F587" s="40" t="n"/>
      <c r="G587" s="40" t="n"/>
      <c r="H587" s="40" t="n"/>
      <c r="I587" s="39" t="n"/>
      <c r="J587" s="13">
        <f>IF(N(F587)&gt;0,G587/F587,"")</f>
        <v/>
      </c>
      <c r="K587" s="10">
        <f>IF(N(G587)&gt;0,E587/G587,"")</f>
        <v/>
      </c>
      <c r="L587" s="10">
        <f>IF(N(H587)&gt;0,E587/H587,"")</f>
        <v/>
      </c>
      <c r="M587" s="11">
        <f>IF(N(E587)&gt;0,I587/E587,"")</f>
        <v/>
      </c>
      <c r="N587" s="10">
        <f>IF(AND(E587="",I587=""),"",N(I587)*(1-COM-COM_SHOP)-N(E587)*(1+IMP_META))</f>
        <v/>
      </c>
      <c r="O587" s="37" t="n"/>
    </row>
    <row r="588">
      <c r="A588" s="36" t="n"/>
      <c r="B588" s="37" t="n"/>
      <c r="C588" s="37" t="n"/>
      <c r="D588" s="38">
        <f>IF(C588="","",IFERROR(INDEX(Anuncios!$B$6:$B$65,MATCH(C588,Anuncios!$A$6:$A$65,0)),"(no está en Anuncios)"))</f>
        <v/>
      </c>
      <c r="E588" s="39" t="n"/>
      <c r="F588" s="40" t="n"/>
      <c r="G588" s="40" t="n"/>
      <c r="H588" s="40" t="n"/>
      <c r="I588" s="39" t="n"/>
      <c r="J588" s="13">
        <f>IF(N(F588)&gt;0,G588/F588,"")</f>
        <v/>
      </c>
      <c r="K588" s="10">
        <f>IF(N(G588)&gt;0,E588/G588,"")</f>
        <v/>
      </c>
      <c r="L588" s="10">
        <f>IF(N(H588)&gt;0,E588/H588,"")</f>
        <v/>
      </c>
      <c r="M588" s="11">
        <f>IF(N(E588)&gt;0,I588/E588,"")</f>
        <v/>
      </c>
      <c r="N588" s="10">
        <f>IF(AND(E588="",I588=""),"",N(I588)*(1-COM-COM_SHOP)-N(E588)*(1+IMP_META))</f>
        <v/>
      </c>
      <c r="O588" s="37" t="n"/>
    </row>
    <row r="589">
      <c r="A589" s="36" t="n"/>
      <c r="B589" s="37" t="n"/>
      <c r="C589" s="37" t="n"/>
      <c r="D589" s="38">
        <f>IF(C589="","",IFERROR(INDEX(Anuncios!$B$6:$B$65,MATCH(C589,Anuncios!$A$6:$A$65,0)),"(no está en Anuncios)"))</f>
        <v/>
      </c>
      <c r="E589" s="39" t="n"/>
      <c r="F589" s="40" t="n"/>
      <c r="G589" s="40" t="n"/>
      <c r="H589" s="40" t="n"/>
      <c r="I589" s="39" t="n"/>
      <c r="J589" s="13">
        <f>IF(N(F589)&gt;0,G589/F589,"")</f>
        <v/>
      </c>
      <c r="K589" s="10">
        <f>IF(N(G589)&gt;0,E589/G589,"")</f>
        <v/>
      </c>
      <c r="L589" s="10">
        <f>IF(N(H589)&gt;0,E589/H589,"")</f>
        <v/>
      </c>
      <c r="M589" s="11">
        <f>IF(N(E589)&gt;0,I589/E589,"")</f>
        <v/>
      </c>
      <c r="N589" s="10">
        <f>IF(AND(E589="",I589=""),"",N(I589)*(1-COM-COM_SHOP)-N(E589)*(1+IMP_META))</f>
        <v/>
      </c>
      <c r="O589" s="37" t="n"/>
    </row>
    <row r="590">
      <c r="A590" s="36" t="n"/>
      <c r="B590" s="37" t="n"/>
      <c r="C590" s="37" t="n"/>
      <c r="D590" s="38">
        <f>IF(C590="","",IFERROR(INDEX(Anuncios!$B$6:$B$65,MATCH(C590,Anuncios!$A$6:$A$65,0)),"(no está en Anuncios)"))</f>
        <v/>
      </c>
      <c r="E590" s="39" t="n"/>
      <c r="F590" s="40" t="n"/>
      <c r="G590" s="40" t="n"/>
      <c r="H590" s="40" t="n"/>
      <c r="I590" s="39" t="n"/>
      <c r="J590" s="13">
        <f>IF(N(F590)&gt;0,G590/F590,"")</f>
        <v/>
      </c>
      <c r="K590" s="10">
        <f>IF(N(G590)&gt;0,E590/G590,"")</f>
        <v/>
      </c>
      <c r="L590" s="10">
        <f>IF(N(H590)&gt;0,E590/H590,"")</f>
        <v/>
      </c>
      <c r="M590" s="11">
        <f>IF(N(E590)&gt;0,I590/E590,"")</f>
        <v/>
      </c>
      <c r="N590" s="10">
        <f>IF(AND(E590="",I590=""),"",N(I590)*(1-COM-COM_SHOP)-N(E590)*(1+IMP_META))</f>
        <v/>
      </c>
      <c r="O590" s="37" t="n"/>
    </row>
    <row r="591">
      <c r="A591" s="36" t="n"/>
      <c r="B591" s="37" t="n"/>
      <c r="C591" s="37" t="n"/>
      <c r="D591" s="38">
        <f>IF(C591="","",IFERROR(INDEX(Anuncios!$B$6:$B$65,MATCH(C591,Anuncios!$A$6:$A$65,0)),"(no está en Anuncios)"))</f>
        <v/>
      </c>
      <c r="E591" s="39" t="n"/>
      <c r="F591" s="40" t="n"/>
      <c r="G591" s="40" t="n"/>
      <c r="H591" s="40" t="n"/>
      <c r="I591" s="39" t="n"/>
      <c r="J591" s="13">
        <f>IF(N(F591)&gt;0,G591/F591,"")</f>
        <v/>
      </c>
      <c r="K591" s="10">
        <f>IF(N(G591)&gt;0,E591/G591,"")</f>
        <v/>
      </c>
      <c r="L591" s="10">
        <f>IF(N(H591)&gt;0,E591/H591,"")</f>
        <v/>
      </c>
      <c r="M591" s="11">
        <f>IF(N(E591)&gt;0,I591/E591,"")</f>
        <v/>
      </c>
      <c r="N591" s="10">
        <f>IF(AND(E591="",I591=""),"",N(I591)*(1-COM-COM_SHOP)-N(E591)*(1+IMP_META))</f>
        <v/>
      </c>
      <c r="O591" s="37" t="n"/>
    </row>
    <row r="592">
      <c r="A592" s="36" t="n"/>
      <c r="B592" s="37" t="n"/>
      <c r="C592" s="37" t="n"/>
      <c r="D592" s="38">
        <f>IF(C592="","",IFERROR(INDEX(Anuncios!$B$6:$B$65,MATCH(C592,Anuncios!$A$6:$A$65,0)),"(no está en Anuncios)"))</f>
        <v/>
      </c>
      <c r="E592" s="39" t="n"/>
      <c r="F592" s="40" t="n"/>
      <c r="G592" s="40" t="n"/>
      <c r="H592" s="40" t="n"/>
      <c r="I592" s="39" t="n"/>
      <c r="J592" s="13">
        <f>IF(N(F592)&gt;0,G592/F592,"")</f>
        <v/>
      </c>
      <c r="K592" s="10">
        <f>IF(N(G592)&gt;0,E592/G592,"")</f>
        <v/>
      </c>
      <c r="L592" s="10">
        <f>IF(N(H592)&gt;0,E592/H592,"")</f>
        <v/>
      </c>
      <c r="M592" s="11">
        <f>IF(N(E592)&gt;0,I592/E592,"")</f>
        <v/>
      </c>
      <c r="N592" s="10">
        <f>IF(AND(E592="",I592=""),"",N(I592)*(1-COM-COM_SHOP)-N(E592)*(1+IMP_META))</f>
        <v/>
      </c>
      <c r="O592" s="37" t="n"/>
    </row>
    <row r="593">
      <c r="A593" s="36" t="n"/>
      <c r="B593" s="37" t="n"/>
      <c r="C593" s="37" t="n"/>
      <c r="D593" s="38">
        <f>IF(C593="","",IFERROR(INDEX(Anuncios!$B$6:$B$65,MATCH(C593,Anuncios!$A$6:$A$65,0)),"(no está en Anuncios)"))</f>
        <v/>
      </c>
      <c r="E593" s="39" t="n"/>
      <c r="F593" s="40" t="n"/>
      <c r="G593" s="40" t="n"/>
      <c r="H593" s="40" t="n"/>
      <c r="I593" s="39" t="n"/>
      <c r="J593" s="13">
        <f>IF(N(F593)&gt;0,G593/F593,"")</f>
        <v/>
      </c>
      <c r="K593" s="10">
        <f>IF(N(G593)&gt;0,E593/G593,"")</f>
        <v/>
      </c>
      <c r="L593" s="10">
        <f>IF(N(H593)&gt;0,E593/H593,"")</f>
        <v/>
      </c>
      <c r="M593" s="11">
        <f>IF(N(E593)&gt;0,I593/E593,"")</f>
        <v/>
      </c>
      <c r="N593" s="10">
        <f>IF(AND(E593="",I593=""),"",N(I593)*(1-COM-COM_SHOP)-N(E593)*(1+IMP_META))</f>
        <v/>
      </c>
      <c r="O593" s="37" t="n"/>
    </row>
    <row r="594">
      <c r="A594" s="36" t="n"/>
      <c r="B594" s="37" t="n"/>
      <c r="C594" s="37" t="n"/>
      <c r="D594" s="38">
        <f>IF(C594="","",IFERROR(INDEX(Anuncios!$B$6:$B$65,MATCH(C594,Anuncios!$A$6:$A$65,0)),"(no está en Anuncios)"))</f>
        <v/>
      </c>
      <c r="E594" s="39" t="n"/>
      <c r="F594" s="40" t="n"/>
      <c r="G594" s="40" t="n"/>
      <c r="H594" s="40" t="n"/>
      <c r="I594" s="39" t="n"/>
      <c r="J594" s="13">
        <f>IF(N(F594)&gt;0,G594/F594,"")</f>
        <v/>
      </c>
      <c r="K594" s="10">
        <f>IF(N(G594)&gt;0,E594/G594,"")</f>
        <v/>
      </c>
      <c r="L594" s="10">
        <f>IF(N(H594)&gt;0,E594/H594,"")</f>
        <v/>
      </c>
      <c r="M594" s="11">
        <f>IF(N(E594)&gt;0,I594/E594,"")</f>
        <v/>
      </c>
      <c r="N594" s="10">
        <f>IF(AND(E594="",I594=""),"",N(I594)*(1-COM-COM_SHOP)-N(E594)*(1+IMP_META))</f>
        <v/>
      </c>
      <c r="O594" s="37" t="n"/>
    </row>
    <row r="595">
      <c r="A595" s="36" t="n"/>
      <c r="B595" s="37" t="n"/>
      <c r="C595" s="37" t="n"/>
      <c r="D595" s="38">
        <f>IF(C595="","",IFERROR(INDEX(Anuncios!$B$6:$B$65,MATCH(C595,Anuncios!$A$6:$A$65,0)),"(no está en Anuncios)"))</f>
        <v/>
      </c>
      <c r="E595" s="39" t="n"/>
      <c r="F595" s="40" t="n"/>
      <c r="G595" s="40" t="n"/>
      <c r="H595" s="40" t="n"/>
      <c r="I595" s="39" t="n"/>
      <c r="J595" s="13">
        <f>IF(N(F595)&gt;0,G595/F595,"")</f>
        <v/>
      </c>
      <c r="K595" s="10">
        <f>IF(N(G595)&gt;0,E595/G595,"")</f>
        <v/>
      </c>
      <c r="L595" s="10">
        <f>IF(N(H595)&gt;0,E595/H595,"")</f>
        <v/>
      </c>
      <c r="M595" s="11">
        <f>IF(N(E595)&gt;0,I595/E595,"")</f>
        <v/>
      </c>
      <c r="N595" s="10">
        <f>IF(AND(E595="",I595=""),"",N(I595)*(1-COM-COM_SHOP)-N(E595)*(1+IMP_META))</f>
        <v/>
      </c>
      <c r="O595" s="37" t="n"/>
    </row>
    <row r="596">
      <c r="A596" s="36" t="n"/>
      <c r="B596" s="37" t="n"/>
      <c r="C596" s="37" t="n"/>
      <c r="D596" s="38">
        <f>IF(C596="","",IFERROR(INDEX(Anuncios!$B$6:$B$65,MATCH(C596,Anuncios!$A$6:$A$65,0)),"(no está en Anuncios)"))</f>
        <v/>
      </c>
      <c r="E596" s="39" t="n"/>
      <c r="F596" s="40" t="n"/>
      <c r="G596" s="40" t="n"/>
      <c r="H596" s="40" t="n"/>
      <c r="I596" s="39" t="n"/>
      <c r="J596" s="13">
        <f>IF(N(F596)&gt;0,G596/F596,"")</f>
        <v/>
      </c>
      <c r="K596" s="10">
        <f>IF(N(G596)&gt;0,E596/G596,"")</f>
        <v/>
      </c>
      <c r="L596" s="10">
        <f>IF(N(H596)&gt;0,E596/H596,"")</f>
        <v/>
      </c>
      <c r="M596" s="11">
        <f>IF(N(E596)&gt;0,I596/E596,"")</f>
        <v/>
      </c>
      <c r="N596" s="10">
        <f>IF(AND(E596="",I596=""),"",N(I596)*(1-COM-COM_SHOP)-N(E596)*(1+IMP_META))</f>
        <v/>
      </c>
      <c r="O596" s="37" t="n"/>
    </row>
    <row r="597">
      <c r="A597" s="36" t="n"/>
      <c r="B597" s="37" t="n"/>
      <c r="C597" s="37" t="n"/>
      <c r="D597" s="38">
        <f>IF(C597="","",IFERROR(INDEX(Anuncios!$B$6:$B$65,MATCH(C597,Anuncios!$A$6:$A$65,0)),"(no está en Anuncios)"))</f>
        <v/>
      </c>
      <c r="E597" s="39" t="n"/>
      <c r="F597" s="40" t="n"/>
      <c r="G597" s="40" t="n"/>
      <c r="H597" s="40" t="n"/>
      <c r="I597" s="39" t="n"/>
      <c r="J597" s="13">
        <f>IF(N(F597)&gt;0,G597/F597,"")</f>
        <v/>
      </c>
      <c r="K597" s="10">
        <f>IF(N(G597)&gt;0,E597/G597,"")</f>
        <v/>
      </c>
      <c r="L597" s="10">
        <f>IF(N(H597)&gt;0,E597/H597,"")</f>
        <v/>
      </c>
      <c r="M597" s="11">
        <f>IF(N(E597)&gt;0,I597/E597,"")</f>
        <v/>
      </c>
      <c r="N597" s="10">
        <f>IF(AND(E597="",I597=""),"",N(I597)*(1-COM-COM_SHOP)-N(E597)*(1+IMP_META))</f>
        <v/>
      </c>
      <c r="O597" s="37" t="n"/>
    </row>
    <row r="598">
      <c r="A598" s="36" t="n"/>
      <c r="B598" s="37" t="n"/>
      <c r="C598" s="37" t="n"/>
      <c r="D598" s="38">
        <f>IF(C598="","",IFERROR(INDEX(Anuncios!$B$6:$B$65,MATCH(C598,Anuncios!$A$6:$A$65,0)),"(no está en Anuncios)"))</f>
        <v/>
      </c>
      <c r="E598" s="39" t="n"/>
      <c r="F598" s="40" t="n"/>
      <c r="G598" s="40" t="n"/>
      <c r="H598" s="40" t="n"/>
      <c r="I598" s="39" t="n"/>
      <c r="J598" s="13">
        <f>IF(N(F598)&gt;0,G598/F598,"")</f>
        <v/>
      </c>
      <c r="K598" s="10">
        <f>IF(N(G598)&gt;0,E598/G598,"")</f>
        <v/>
      </c>
      <c r="L598" s="10">
        <f>IF(N(H598)&gt;0,E598/H598,"")</f>
        <v/>
      </c>
      <c r="M598" s="11">
        <f>IF(N(E598)&gt;0,I598/E598,"")</f>
        <v/>
      </c>
      <c r="N598" s="10">
        <f>IF(AND(E598="",I598=""),"",N(I598)*(1-COM-COM_SHOP)-N(E598)*(1+IMP_META))</f>
        <v/>
      </c>
      <c r="O598" s="37" t="n"/>
    </row>
    <row r="599">
      <c r="A599" s="36" t="n"/>
      <c r="B599" s="37" t="n"/>
      <c r="C599" s="37" t="n"/>
      <c r="D599" s="38">
        <f>IF(C599="","",IFERROR(INDEX(Anuncios!$B$6:$B$65,MATCH(C599,Anuncios!$A$6:$A$65,0)),"(no está en Anuncios)"))</f>
        <v/>
      </c>
      <c r="E599" s="39" t="n"/>
      <c r="F599" s="40" t="n"/>
      <c r="G599" s="40" t="n"/>
      <c r="H599" s="40" t="n"/>
      <c r="I599" s="39" t="n"/>
      <c r="J599" s="13">
        <f>IF(N(F599)&gt;0,G599/F599,"")</f>
        <v/>
      </c>
      <c r="K599" s="10">
        <f>IF(N(G599)&gt;0,E599/G599,"")</f>
        <v/>
      </c>
      <c r="L599" s="10">
        <f>IF(N(H599)&gt;0,E599/H599,"")</f>
        <v/>
      </c>
      <c r="M599" s="11">
        <f>IF(N(E599)&gt;0,I599/E599,"")</f>
        <v/>
      </c>
      <c r="N599" s="10">
        <f>IF(AND(E599="",I599=""),"",N(I599)*(1-COM-COM_SHOP)-N(E599)*(1+IMP_META))</f>
        <v/>
      </c>
      <c r="O599" s="37" t="n"/>
    </row>
    <row r="600">
      <c r="A600" s="36" t="n"/>
      <c r="B600" s="37" t="n"/>
      <c r="C600" s="37" t="n"/>
      <c r="D600" s="38">
        <f>IF(C600="","",IFERROR(INDEX(Anuncios!$B$6:$B$65,MATCH(C600,Anuncios!$A$6:$A$65,0)),"(no está en Anuncios)"))</f>
        <v/>
      </c>
      <c r="E600" s="39" t="n"/>
      <c r="F600" s="40" t="n"/>
      <c r="G600" s="40" t="n"/>
      <c r="H600" s="40" t="n"/>
      <c r="I600" s="39" t="n"/>
      <c r="J600" s="13">
        <f>IF(N(F600)&gt;0,G600/F600,"")</f>
        <v/>
      </c>
      <c r="K600" s="10">
        <f>IF(N(G600)&gt;0,E600/G600,"")</f>
        <v/>
      </c>
      <c r="L600" s="10">
        <f>IF(N(H600)&gt;0,E600/H600,"")</f>
        <v/>
      </c>
      <c r="M600" s="11">
        <f>IF(N(E600)&gt;0,I600/E600,"")</f>
        <v/>
      </c>
      <c r="N600" s="10">
        <f>IF(AND(E600="",I600=""),"",N(I600)*(1-COM-COM_SHOP)-N(E600)*(1+IMP_META))</f>
        <v/>
      </c>
      <c r="O600" s="37" t="n"/>
    </row>
    <row r="601">
      <c r="A601" s="36" t="n"/>
      <c r="B601" s="37" t="n"/>
      <c r="C601" s="37" t="n"/>
      <c r="D601" s="38">
        <f>IF(C601="","",IFERROR(INDEX(Anuncios!$B$6:$B$65,MATCH(C601,Anuncios!$A$6:$A$65,0)),"(no está en Anuncios)"))</f>
        <v/>
      </c>
      <c r="E601" s="39" t="n"/>
      <c r="F601" s="40" t="n"/>
      <c r="G601" s="40" t="n"/>
      <c r="H601" s="40" t="n"/>
      <c r="I601" s="39" t="n"/>
      <c r="J601" s="13">
        <f>IF(N(F601)&gt;0,G601/F601,"")</f>
        <v/>
      </c>
      <c r="K601" s="10">
        <f>IF(N(G601)&gt;0,E601/G601,"")</f>
        <v/>
      </c>
      <c r="L601" s="10">
        <f>IF(N(H601)&gt;0,E601/H601,"")</f>
        <v/>
      </c>
      <c r="M601" s="11">
        <f>IF(N(E601)&gt;0,I601/E601,"")</f>
        <v/>
      </c>
      <c r="N601" s="10">
        <f>IF(AND(E601="",I601=""),"",N(I601)*(1-COM-COM_SHOP)-N(E601)*(1+IMP_META))</f>
        <v/>
      </c>
      <c r="O601" s="37" t="n"/>
    </row>
    <row r="602">
      <c r="A602" s="36" t="n"/>
      <c r="B602" s="37" t="n"/>
      <c r="C602" s="37" t="n"/>
      <c r="D602" s="38">
        <f>IF(C602="","",IFERROR(INDEX(Anuncios!$B$6:$B$65,MATCH(C602,Anuncios!$A$6:$A$65,0)),"(no está en Anuncios)"))</f>
        <v/>
      </c>
      <c r="E602" s="39" t="n"/>
      <c r="F602" s="40" t="n"/>
      <c r="G602" s="40" t="n"/>
      <c r="H602" s="40" t="n"/>
      <c r="I602" s="39" t="n"/>
      <c r="J602" s="13">
        <f>IF(N(F602)&gt;0,G602/F602,"")</f>
        <v/>
      </c>
      <c r="K602" s="10">
        <f>IF(N(G602)&gt;0,E602/G602,"")</f>
        <v/>
      </c>
      <c r="L602" s="10">
        <f>IF(N(H602)&gt;0,E602/H602,"")</f>
        <v/>
      </c>
      <c r="M602" s="11">
        <f>IF(N(E602)&gt;0,I602/E602,"")</f>
        <v/>
      </c>
      <c r="N602" s="10">
        <f>IF(AND(E602="",I602=""),"",N(I602)*(1-COM-COM_SHOP)-N(E602)*(1+IMP_META))</f>
        <v/>
      </c>
      <c r="O602" s="37" t="n"/>
    </row>
    <row r="603">
      <c r="A603" s="36" t="n"/>
      <c r="B603" s="37" t="n"/>
      <c r="C603" s="37" t="n"/>
      <c r="D603" s="38">
        <f>IF(C603="","",IFERROR(INDEX(Anuncios!$B$6:$B$65,MATCH(C603,Anuncios!$A$6:$A$65,0)),"(no está en Anuncios)"))</f>
        <v/>
      </c>
      <c r="E603" s="39" t="n"/>
      <c r="F603" s="40" t="n"/>
      <c r="G603" s="40" t="n"/>
      <c r="H603" s="40" t="n"/>
      <c r="I603" s="39" t="n"/>
      <c r="J603" s="13">
        <f>IF(N(F603)&gt;0,G603/F603,"")</f>
        <v/>
      </c>
      <c r="K603" s="10">
        <f>IF(N(G603)&gt;0,E603/G603,"")</f>
        <v/>
      </c>
      <c r="L603" s="10">
        <f>IF(N(H603)&gt;0,E603/H603,"")</f>
        <v/>
      </c>
      <c r="M603" s="11">
        <f>IF(N(E603)&gt;0,I603/E603,"")</f>
        <v/>
      </c>
      <c r="N603" s="10">
        <f>IF(AND(E603="",I603=""),"",N(I603)*(1-COM-COM_SHOP)-N(E603)*(1+IMP_META))</f>
        <v/>
      </c>
      <c r="O603" s="37" t="n"/>
    </row>
    <row r="604">
      <c r="A604" s="36" t="n"/>
      <c r="B604" s="37" t="n"/>
      <c r="C604" s="37" t="n"/>
      <c r="D604" s="38">
        <f>IF(C604="","",IFERROR(INDEX(Anuncios!$B$6:$B$65,MATCH(C604,Anuncios!$A$6:$A$65,0)),"(no está en Anuncios)"))</f>
        <v/>
      </c>
      <c r="E604" s="39" t="n"/>
      <c r="F604" s="40" t="n"/>
      <c r="G604" s="40" t="n"/>
      <c r="H604" s="40" t="n"/>
      <c r="I604" s="39" t="n"/>
      <c r="J604" s="13">
        <f>IF(N(F604)&gt;0,G604/F604,"")</f>
        <v/>
      </c>
      <c r="K604" s="10">
        <f>IF(N(G604)&gt;0,E604/G604,"")</f>
        <v/>
      </c>
      <c r="L604" s="10">
        <f>IF(N(H604)&gt;0,E604/H604,"")</f>
        <v/>
      </c>
      <c r="M604" s="11">
        <f>IF(N(E604)&gt;0,I604/E604,"")</f>
        <v/>
      </c>
      <c r="N604" s="10">
        <f>IF(AND(E604="",I604=""),"",N(I604)*(1-COM-COM_SHOP)-N(E604)*(1+IMP_META))</f>
        <v/>
      </c>
      <c r="O604" s="37" t="n"/>
    </row>
    <row r="605">
      <c r="A605" s="36" t="n"/>
      <c r="B605" s="37" t="n"/>
      <c r="C605" s="37" t="n"/>
      <c r="D605" s="38">
        <f>IF(C605="","",IFERROR(INDEX(Anuncios!$B$6:$B$65,MATCH(C605,Anuncios!$A$6:$A$65,0)),"(no está en Anuncios)"))</f>
        <v/>
      </c>
      <c r="E605" s="39" t="n"/>
      <c r="F605" s="40" t="n"/>
      <c r="G605" s="40" t="n"/>
      <c r="H605" s="40" t="n"/>
      <c r="I605" s="39" t="n"/>
      <c r="J605" s="13">
        <f>IF(N(F605)&gt;0,G605/F605,"")</f>
        <v/>
      </c>
      <c r="K605" s="10">
        <f>IF(N(G605)&gt;0,E605/G605,"")</f>
        <v/>
      </c>
      <c r="L605" s="10">
        <f>IF(N(H605)&gt;0,E605/H605,"")</f>
        <v/>
      </c>
      <c r="M605" s="11">
        <f>IF(N(E605)&gt;0,I605/E605,"")</f>
        <v/>
      </c>
      <c r="N605" s="10">
        <f>IF(AND(E605="",I605=""),"",N(I605)*(1-COM-COM_SHOP)-N(E605)*(1+IMP_META))</f>
        <v/>
      </c>
      <c r="O605" s="37" t="n"/>
    </row>
    <row r="606">
      <c r="A606" s="36" t="n"/>
      <c r="B606" s="37" t="n"/>
      <c r="C606" s="37" t="n"/>
      <c r="D606" s="38">
        <f>IF(C606="","",IFERROR(INDEX(Anuncios!$B$6:$B$65,MATCH(C606,Anuncios!$A$6:$A$65,0)),"(no está en Anuncios)"))</f>
        <v/>
      </c>
      <c r="E606" s="39" t="n"/>
      <c r="F606" s="40" t="n"/>
      <c r="G606" s="40" t="n"/>
      <c r="H606" s="40" t="n"/>
      <c r="I606" s="39" t="n"/>
      <c r="J606" s="13">
        <f>IF(N(F606)&gt;0,G606/F606,"")</f>
        <v/>
      </c>
      <c r="K606" s="10">
        <f>IF(N(G606)&gt;0,E606/G606,"")</f>
        <v/>
      </c>
      <c r="L606" s="10">
        <f>IF(N(H606)&gt;0,E606/H606,"")</f>
        <v/>
      </c>
      <c r="M606" s="11">
        <f>IF(N(E606)&gt;0,I606/E606,"")</f>
        <v/>
      </c>
      <c r="N606" s="10">
        <f>IF(AND(E606="",I606=""),"",N(I606)*(1-COM-COM_SHOP)-N(E606)*(1+IMP_META))</f>
        <v/>
      </c>
      <c r="O606" s="37" t="n"/>
    </row>
    <row r="607">
      <c r="A607" s="36" t="n"/>
      <c r="B607" s="37" t="n"/>
      <c r="C607" s="37" t="n"/>
      <c r="D607" s="38">
        <f>IF(C607="","",IFERROR(INDEX(Anuncios!$B$6:$B$65,MATCH(C607,Anuncios!$A$6:$A$65,0)),"(no está en Anuncios)"))</f>
        <v/>
      </c>
      <c r="E607" s="39" t="n"/>
      <c r="F607" s="40" t="n"/>
      <c r="G607" s="40" t="n"/>
      <c r="H607" s="40" t="n"/>
      <c r="I607" s="39" t="n"/>
      <c r="J607" s="13">
        <f>IF(N(F607)&gt;0,G607/F607,"")</f>
        <v/>
      </c>
      <c r="K607" s="10">
        <f>IF(N(G607)&gt;0,E607/G607,"")</f>
        <v/>
      </c>
      <c r="L607" s="10">
        <f>IF(N(H607)&gt;0,E607/H607,"")</f>
        <v/>
      </c>
      <c r="M607" s="11">
        <f>IF(N(E607)&gt;0,I607/E607,"")</f>
        <v/>
      </c>
      <c r="N607" s="10">
        <f>IF(AND(E607="",I607=""),"",N(I607)*(1-COM-COM_SHOP)-N(E607)*(1+IMP_META))</f>
        <v/>
      </c>
      <c r="O607" s="37" t="n"/>
    </row>
    <row r="608">
      <c r="A608" s="36" t="n"/>
      <c r="B608" s="37" t="n"/>
      <c r="C608" s="37" t="n"/>
      <c r="D608" s="38">
        <f>IF(C608="","",IFERROR(INDEX(Anuncios!$B$6:$B$65,MATCH(C608,Anuncios!$A$6:$A$65,0)),"(no está en Anuncios)"))</f>
        <v/>
      </c>
      <c r="E608" s="39" t="n"/>
      <c r="F608" s="40" t="n"/>
      <c r="G608" s="40" t="n"/>
      <c r="H608" s="40" t="n"/>
      <c r="I608" s="39" t="n"/>
      <c r="J608" s="13">
        <f>IF(N(F608)&gt;0,G608/F608,"")</f>
        <v/>
      </c>
      <c r="K608" s="10">
        <f>IF(N(G608)&gt;0,E608/G608,"")</f>
        <v/>
      </c>
      <c r="L608" s="10">
        <f>IF(N(H608)&gt;0,E608/H608,"")</f>
        <v/>
      </c>
      <c r="M608" s="11">
        <f>IF(N(E608)&gt;0,I608/E608,"")</f>
        <v/>
      </c>
      <c r="N608" s="10">
        <f>IF(AND(E608="",I608=""),"",N(I608)*(1-COM-COM_SHOP)-N(E608)*(1+IMP_META))</f>
        <v/>
      </c>
      <c r="O608" s="37" t="n"/>
    </row>
    <row r="609">
      <c r="A609" s="36" t="n"/>
      <c r="B609" s="37" t="n"/>
      <c r="C609" s="37" t="n"/>
      <c r="D609" s="38">
        <f>IF(C609="","",IFERROR(INDEX(Anuncios!$B$6:$B$65,MATCH(C609,Anuncios!$A$6:$A$65,0)),"(no está en Anuncios)"))</f>
        <v/>
      </c>
      <c r="E609" s="39" t="n"/>
      <c r="F609" s="40" t="n"/>
      <c r="G609" s="40" t="n"/>
      <c r="H609" s="40" t="n"/>
      <c r="I609" s="39" t="n"/>
      <c r="J609" s="13">
        <f>IF(N(F609)&gt;0,G609/F609,"")</f>
        <v/>
      </c>
      <c r="K609" s="10">
        <f>IF(N(G609)&gt;0,E609/G609,"")</f>
        <v/>
      </c>
      <c r="L609" s="10">
        <f>IF(N(H609)&gt;0,E609/H609,"")</f>
        <v/>
      </c>
      <c r="M609" s="11">
        <f>IF(N(E609)&gt;0,I609/E609,"")</f>
        <v/>
      </c>
      <c r="N609" s="10">
        <f>IF(AND(E609="",I609=""),"",N(I609)*(1-COM-COM_SHOP)-N(E609)*(1+IMP_META))</f>
        <v/>
      </c>
      <c r="O609" s="37" t="n"/>
    </row>
    <row r="610">
      <c r="A610" s="36" t="n"/>
      <c r="B610" s="37" t="n"/>
      <c r="C610" s="37" t="n"/>
      <c r="D610" s="38">
        <f>IF(C610="","",IFERROR(INDEX(Anuncios!$B$6:$B$65,MATCH(C610,Anuncios!$A$6:$A$65,0)),"(no está en Anuncios)"))</f>
        <v/>
      </c>
      <c r="E610" s="39" t="n"/>
      <c r="F610" s="40" t="n"/>
      <c r="G610" s="40" t="n"/>
      <c r="H610" s="40" t="n"/>
      <c r="I610" s="39" t="n"/>
      <c r="J610" s="13">
        <f>IF(N(F610)&gt;0,G610/F610,"")</f>
        <v/>
      </c>
      <c r="K610" s="10">
        <f>IF(N(G610)&gt;0,E610/G610,"")</f>
        <v/>
      </c>
      <c r="L610" s="10">
        <f>IF(N(H610)&gt;0,E610/H610,"")</f>
        <v/>
      </c>
      <c r="M610" s="11">
        <f>IF(N(E610)&gt;0,I610/E610,"")</f>
        <v/>
      </c>
      <c r="N610" s="10">
        <f>IF(AND(E610="",I610=""),"",N(I610)*(1-COM-COM_SHOP)-N(E610)*(1+IMP_META))</f>
        <v/>
      </c>
      <c r="O610" s="37" t="n"/>
    </row>
    <row r="611">
      <c r="A611" s="36" t="n"/>
      <c r="B611" s="37" t="n"/>
      <c r="C611" s="37" t="n"/>
      <c r="D611" s="38">
        <f>IF(C611="","",IFERROR(INDEX(Anuncios!$B$6:$B$65,MATCH(C611,Anuncios!$A$6:$A$65,0)),"(no está en Anuncios)"))</f>
        <v/>
      </c>
      <c r="E611" s="39" t="n"/>
      <c r="F611" s="40" t="n"/>
      <c r="G611" s="40" t="n"/>
      <c r="H611" s="40" t="n"/>
      <c r="I611" s="39" t="n"/>
      <c r="J611" s="13">
        <f>IF(N(F611)&gt;0,G611/F611,"")</f>
        <v/>
      </c>
      <c r="K611" s="10">
        <f>IF(N(G611)&gt;0,E611/G611,"")</f>
        <v/>
      </c>
      <c r="L611" s="10">
        <f>IF(N(H611)&gt;0,E611/H611,"")</f>
        <v/>
      </c>
      <c r="M611" s="11">
        <f>IF(N(E611)&gt;0,I611/E611,"")</f>
        <v/>
      </c>
      <c r="N611" s="10">
        <f>IF(AND(E611="",I611=""),"",N(I611)*(1-COM-COM_SHOP)-N(E611)*(1+IMP_META))</f>
        <v/>
      </c>
      <c r="O611" s="37" t="n"/>
    </row>
    <row r="612">
      <c r="A612" s="36" t="n"/>
      <c r="B612" s="37" t="n"/>
      <c r="C612" s="37" t="n"/>
      <c r="D612" s="38">
        <f>IF(C612="","",IFERROR(INDEX(Anuncios!$B$6:$B$65,MATCH(C612,Anuncios!$A$6:$A$65,0)),"(no está en Anuncios)"))</f>
        <v/>
      </c>
      <c r="E612" s="39" t="n"/>
      <c r="F612" s="40" t="n"/>
      <c r="G612" s="40" t="n"/>
      <c r="H612" s="40" t="n"/>
      <c r="I612" s="39" t="n"/>
      <c r="J612" s="13">
        <f>IF(N(F612)&gt;0,G612/F612,"")</f>
        <v/>
      </c>
      <c r="K612" s="10">
        <f>IF(N(G612)&gt;0,E612/G612,"")</f>
        <v/>
      </c>
      <c r="L612" s="10">
        <f>IF(N(H612)&gt;0,E612/H612,"")</f>
        <v/>
      </c>
      <c r="M612" s="11">
        <f>IF(N(E612)&gt;0,I612/E612,"")</f>
        <v/>
      </c>
      <c r="N612" s="10">
        <f>IF(AND(E612="",I612=""),"",N(I612)*(1-COM-COM_SHOP)-N(E612)*(1+IMP_META))</f>
        <v/>
      </c>
      <c r="O612" s="37" t="n"/>
    </row>
    <row r="613">
      <c r="A613" s="36" t="n"/>
      <c r="B613" s="37" t="n"/>
      <c r="C613" s="37" t="n"/>
      <c r="D613" s="38">
        <f>IF(C613="","",IFERROR(INDEX(Anuncios!$B$6:$B$65,MATCH(C613,Anuncios!$A$6:$A$65,0)),"(no está en Anuncios)"))</f>
        <v/>
      </c>
      <c r="E613" s="39" t="n"/>
      <c r="F613" s="40" t="n"/>
      <c r="G613" s="40" t="n"/>
      <c r="H613" s="40" t="n"/>
      <c r="I613" s="39" t="n"/>
      <c r="J613" s="13">
        <f>IF(N(F613)&gt;0,G613/F613,"")</f>
        <v/>
      </c>
      <c r="K613" s="10">
        <f>IF(N(G613)&gt;0,E613/G613,"")</f>
        <v/>
      </c>
      <c r="L613" s="10">
        <f>IF(N(H613)&gt;0,E613/H613,"")</f>
        <v/>
      </c>
      <c r="M613" s="11">
        <f>IF(N(E613)&gt;0,I613/E613,"")</f>
        <v/>
      </c>
      <c r="N613" s="10">
        <f>IF(AND(E613="",I613=""),"",N(I613)*(1-COM-COM_SHOP)-N(E613)*(1+IMP_META))</f>
        <v/>
      </c>
      <c r="O613" s="37" t="n"/>
    </row>
    <row r="614">
      <c r="A614" s="36" t="n"/>
      <c r="B614" s="37" t="n"/>
      <c r="C614" s="37" t="n"/>
      <c r="D614" s="38">
        <f>IF(C614="","",IFERROR(INDEX(Anuncios!$B$6:$B$65,MATCH(C614,Anuncios!$A$6:$A$65,0)),"(no está en Anuncios)"))</f>
        <v/>
      </c>
      <c r="E614" s="39" t="n"/>
      <c r="F614" s="40" t="n"/>
      <c r="G614" s="40" t="n"/>
      <c r="H614" s="40" t="n"/>
      <c r="I614" s="39" t="n"/>
      <c r="J614" s="13">
        <f>IF(N(F614)&gt;0,G614/F614,"")</f>
        <v/>
      </c>
      <c r="K614" s="10">
        <f>IF(N(G614)&gt;0,E614/G614,"")</f>
        <v/>
      </c>
      <c r="L614" s="10">
        <f>IF(N(H614)&gt;0,E614/H614,"")</f>
        <v/>
      </c>
      <c r="M614" s="11">
        <f>IF(N(E614)&gt;0,I614/E614,"")</f>
        <v/>
      </c>
      <c r="N614" s="10">
        <f>IF(AND(E614="",I614=""),"",N(I614)*(1-COM-COM_SHOP)-N(E614)*(1+IMP_META))</f>
        <v/>
      </c>
      <c r="O614" s="37" t="n"/>
    </row>
    <row r="615">
      <c r="A615" s="36" t="n"/>
      <c r="B615" s="37" t="n"/>
      <c r="C615" s="37" t="n"/>
      <c r="D615" s="38">
        <f>IF(C615="","",IFERROR(INDEX(Anuncios!$B$6:$B$65,MATCH(C615,Anuncios!$A$6:$A$65,0)),"(no está en Anuncios)"))</f>
        <v/>
      </c>
      <c r="E615" s="39" t="n"/>
      <c r="F615" s="40" t="n"/>
      <c r="G615" s="40" t="n"/>
      <c r="H615" s="40" t="n"/>
      <c r="I615" s="39" t="n"/>
      <c r="J615" s="13">
        <f>IF(N(F615)&gt;0,G615/F615,"")</f>
        <v/>
      </c>
      <c r="K615" s="10">
        <f>IF(N(G615)&gt;0,E615/G615,"")</f>
        <v/>
      </c>
      <c r="L615" s="10">
        <f>IF(N(H615)&gt;0,E615/H615,"")</f>
        <v/>
      </c>
      <c r="M615" s="11">
        <f>IF(N(E615)&gt;0,I615/E615,"")</f>
        <v/>
      </c>
      <c r="N615" s="10">
        <f>IF(AND(E615="",I615=""),"",N(I615)*(1-COM-COM_SHOP)-N(E615)*(1+IMP_META))</f>
        <v/>
      </c>
      <c r="O615" s="37" t="n"/>
    </row>
    <row r="616">
      <c r="A616" s="36" t="n"/>
      <c r="B616" s="37" t="n"/>
      <c r="C616" s="37" t="n"/>
      <c r="D616" s="38">
        <f>IF(C616="","",IFERROR(INDEX(Anuncios!$B$6:$B$65,MATCH(C616,Anuncios!$A$6:$A$65,0)),"(no está en Anuncios)"))</f>
        <v/>
      </c>
      <c r="E616" s="39" t="n"/>
      <c r="F616" s="40" t="n"/>
      <c r="G616" s="40" t="n"/>
      <c r="H616" s="40" t="n"/>
      <c r="I616" s="39" t="n"/>
      <c r="J616" s="13">
        <f>IF(N(F616)&gt;0,G616/F616,"")</f>
        <v/>
      </c>
      <c r="K616" s="10">
        <f>IF(N(G616)&gt;0,E616/G616,"")</f>
        <v/>
      </c>
      <c r="L616" s="10">
        <f>IF(N(H616)&gt;0,E616/H616,"")</f>
        <v/>
      </c>
      <c r="M616" s="11">
        <f>IF(N(E616)&gt;0,I616/E616,"")</f>
        <v/>
      </c>
      <c r="N616" s="10">
        <f>IF(AND(E616="",I616=""),"",N(I616)*(1-COM-COM_SHOP)-N(E616)*(1+IMP_META))</f>
        <v/>
      </c>
      <c r="O616" s="37" t="n"/>
    </row>
    <row r="617">
      <c r="A617" s="36" t="n"/>
      <c r="B617" s="37" t="n"/>
      <c r="C617" s="37" t="n"/>
      <c r="D617" s="38">
        <f>IF(C617="","",IFERROR(INDEX(Anuncios!$B$6:$B$65,MATCH(C617,Anuncios!$A$6:$A$65,0)),"(no está en Anuncios)"))</f>
        <v/>
      </c>
      <c r="E617" s="39" t="n"/>
      <c r="F617" s="40" t="n"/>
      <c r="G617" s="40" t="n"/>
      <c r="H617" s="40" t="n"/>
      <c r="I617" s="39" t="n"/>
      <c r="J617" s="13">
        <f>IF(N(F617)&gt;0,G617/F617,"")</f>
        <v/>
      </c>
      <c r="K617" s="10">
        <f>IF(N(G617)&gt;0,E617/G617,"")</f>
        <v/>
      </c>
      <c r="L617" s="10">
        <f>IF(N(H617)&gt;0,E617/H617,"")</f>
        <v/>
      </c>
      <c r="M617" s="11">
        <f>IF(N(E617)&gt;0,I617/E617,"")</f>
        <v/>
      </c>
      <c r="N617" s="10">
        <f>IF(AND(E617="",I617=""),"",N(I617)*(1-COM-COM_SHOP)-N(E617)*(1+IMP_META))</f>
        <v/>
      </c>
      <c r="O617" s="37" t="n"/>
    </row>
    <row r="618">
      <c r="A618" s="36" t="n"/>
      <c r="B618" s="37" t="n"/>
      <c r="C618" s="37" t="n"/>
      <c r="D618" s="38">
        <f>IF(C618="","",IFERROR(INDEX(Anuncios!$B$6:$B$65,MATCH(C618,Anuncios!$A$6:$A$65,0)),"(no está en Anuncios)"))</f>
        <v/>
      </c>
      <c r="E618" s="39" t="n"/>
      <c r="F618" s="40" t="n"/>
      <c r="G618" s="40" t="n"/>
      <c r="H618" s="40" t="n"/>
      <c r="I618" s="39" t="n"/>
      <c r="J618" s="13">
        <f>IF(N(F618)&gt;0,G618/F618,"")</f>
        <v/>
      </c>
      <c r="K618" s="10">
        <f>IF(N(G618)&gt;0,E618/G618,"")</f>
        <v/>
      </c>
      <c r="L618" s="10">
        <f>IF(N(H618)&gt;0,E618/H618,"")</f>
        <v/>
      </c>
      <c r="M618" s="11">
        <f>IF(N(E618)&gt;0,I618/E618,"")</f>
        <v/>
      </c>
      <c r="N618" s="10">
        <f>IF(AND(E618="",I618=""),"",N(I618)*(1-COM-COM_SHOP)-N(E618)*(1+IMP_META))</f>
        <v/>
      </c>
      <c r="O618" s="37" t="n"/>
    </row>
    <row r="619">
      <c r="A619" s="36" t="n"/>
      <c r="B619" s="37" t="n"/>
      <c r="C619" s="37" t="n"/>
      <c r="D619" s="38">
        <f>IF(C619="","",IFERROR(INDEX(Anuncios!$B$6:$B$65,MATCH(C619,Anuncios!$A$6:$A$65,0)),"(no está en Anuncios)"))</f>
        <v/>
      </c>
      <c r="E619" s="39" t="n"/>
      <c r="F619" s="40" t="n"/>
      <c r="G619" s="40" t="n"/>
      <c r="H619" s="40" t="n"/>
      <c r="I619" s="39" t="n"/>
      <c r="J619" s="13">
        <f>IF(N(F619)&gt;0,G619/F619,"")</f>
        <v/>
      </c>
      <c r="K619" s="10">
        <f>IF(N(G619)&gt;0,E619/G619,"")</f>
        <v/>
      </c>
      <c r="L619" s="10">
        <f>IF(N(H619)&gt;0,E619/H619,"")</f>
        <v/>
      </c>
      <c r="M619" s="11">
        <f>IF(N(E619)&gt;0,I619/E619,"")</f>
        <v/>
      </c>
      <c r="N619" s="10">
        <f>IF(AND(E619="",I619=""),"",N(I619)*(1-COM-COM_SHOP)-N(E619)*(1+IMP_META))</f>
        <v/>
      </c>
      <c r="O619" s="37" t="n"/>
    </row>
    <row r="620">
      <c r="A620" s="36" t="n"/>
      <c r="B620" s="37" t="n"/>
      <c r="C620" s="37" t="n"/>
      <c r="D620" s="38">
        <f>IF(C620="","",IFERROR(INDEX(Anuncios!$B$6:$B$65,MATCH(C620,Anuncios!$A$6:$A$65,0)),"(no está en Anuncios)"))</f>
        <v/>
      </c>
      <c r="E620" s="39" t="n"/>
      <c r="F620" s="40" t="n"/>
      <c r="G620" s="40" t="n"/>
      <c r="H620" s="40" t="n"/>
      <c r="I620" s="39" t="n"/>
      <c r="J620" s="13">
        <f>IF(N(F620)&gt;0,G620/F620,"")</f>
        <v/>
      </c>
      <c r="K620" s="10">
        <f>IF(N(G620)&gt;0,E620/G620,"")</f>
        <v/>
      </c>
      <c r="L620" s="10">
        <f>IF(N(H620)&gt;0,E620/H620,"")</f>
        <v/>
      </c>
      <c r="M620" s="11">
        <f>IF(N(E620)&gt;0,I620/E620,"")</f>
        <v/>
      </c>
      <c r="N620" s="10">
        <f>IF(AND(E620="",I620=""),"",N(I620)*(1-COM-COM_SHOP)-N(E620)*(1+IMP_META))</f>
        <v/>
      </c>
      <c r="O620" s="37" t="n"/>
    </row>
    <row r="621">
      <c r="A621" s="36" t="n"/>
      <c r="B621" s="37" t="n"/>
      <c r="C621" s="37" t="n"/>
      <c r="D621" s="38">
        <f>IF(C621="","",IFERROR(INDEX(Anuncios!$B$6:$B$65,MATCH(C621,Anuncios!$A$6:$A$65,0)),"(no está en Anuncios)"))</f>
        <v/>
      </c>
      <c r="E621" s="39" t="n"/>
      <c r="F621" s="40" t="n"/>
      <c r="G621" s="40" t="n"/>
      <c r="H621" s="40" t="n"/>
      <c r="I621" s="39" t="n"/>
      <c r="J621" s="13">
        <f>IF(N(F621)&gt;0,G621/F621,"")</f>
        <v/>
      </c>
      <c r="K621" s="10">
        <f>IF(N(G621)&gt;0,E621/G621,"")</f>
        <v/>
      </c>
      <c r="L621" s="10">
        <f>IF(N(H621)&gt;0,E621/H621,"")</f>
        <v/>
      </c>
      <c r="M621" s="11">
        <f>IF(N(E621)&gt;0,I621/E621,"")</f>
        <v/>
      </c>
      <c r="N621" s="10">
        <f>IF(AND(E621="",I621=""),"",N(I621)*(1-COM-COM_SHOP)-N(E621)*(1+IMP_META))</f>
        <v/>
      </c>
      <c r="O621" s="37" t="n"/>
    </row>
    <row r="622">
      <c r="A622" s="36" t="n"/>
      <c r="B622" s="37" t="n"/>
      <c r="C622" s="37" t="n"/>
      <c r="D622" s="38">
        <f>IF(C622="","",IFERROR(INDEX(Anuncios!$B$6:$B$65,MATCH(C622,Anuncios!$A$6:$A$65,0)),"(no está en Anuncios)"))</f>
        <v/>
      </c>
      <c r="E622" s="39" t="n"/>
      <c r="F622" s="40" t="n"/>
      <c r="G622" s="40" t="n"/>
      <c r="H622" s="40" t="n"/>
      <c r="I622" s="39" t="n"/>
      <c r="J622" s="13">
        <f>IF(N(F622)&gt;0,G622/F622,"")</f>
        <v/>
      </c>
      <c r="K622" s="10">
        <f>IF(N(G622)&gt;0,E622/G622,"")</f>
        <v/>
      </c>
      <c r="L622" s="10">
        <f>IF(N(H622)&gt;0,E622/H622,"")</f>
        <v/>
      </c>
      <c r="M622" s="11">
        <f>IF(N(E622)&gt;0,I622/E622,"")</f>
        <v/>
      </c>
      <c r="N622" s="10">
        <f>IF(AND(E622="",I622=""),"",N(I622)*(1-COM-COM_SHOP)-N(E622)*(1+IMP_META))</f>
        <v/>
      </c>
      <c r="O622" s="37" t="n"/>
    </row>
    <row r="623">
      <c r="A623" s="36" t="n"/>
      <c r="B623" s="37" t="n"/>
      <c r="C623" s="37" t="n"/>
      <c r="D623" s="38">
        <f>IF(C623="","",IFERROR(INDEX(Anuncios!$B$6:$B$65,MATCH(C623,Anuncios!$A$6:$A$65,0)),"(no está en Anuncios)"))</f>
        <v/>
      </c>
      <c r="E623" s="39" t="n"/>
      <c r="F623" s="40" t="n"/>
      <c r="G623" s="40" t="n"/>
      <c r="H623" s="40" t="n"/>
      <c r="I623" s="39" t="n"/>
      <c r="J623" s="13">
        <f>IF(N(F623)&gt;0,G623/F623,"")</f>
        <v/>
      </c>
      <c r="K623" s="10">
        <f>IF(N(G623)&gt;0,E623/G623,"")</f>
        <v/>
      </c>
      <c r="L623" s="10">
        <f>IF(N(H623)&gt;0,E623/H623,"")</f>
        <v/>
      </c>
      <c r="M623" s="11">
        <f>IF(N(E623)&gt;0,I623/E623,"")</f>
        <v/>
      </c>
      <c r="N623" s="10">
        <f>IF(AND(E623="",I623=""),"",N(I623)*(1-COM-COM_SHOP)-N(E623)*(1+IMP_META))</f>
        <v/>
      </c>
      <c r="O623" s="37" t="n"/>
    </row>
    <row r="624">
      <c r="A624" s="36" t="n"/>
      <c r="B624" s="37" t="n"/>
      <c r="C624" s="37" t="n"/>
      <c r="D624" s="38">
        <f>IF(C624="","",IFERROR(INDEX(Anuncios!$B$6:$B$65,MATCH(C624,Anuncios!$A$6:$A$65,0)),"(no está en Anuncios)"))</f>
        <v/>
      </c>
      <c r="E624" s="39" t="n"/>
      <c r="F624" s="40" t="n"/>
      <c r="G624" s="40" t="n"/>
      <c r="H624" s="40" t="n"/>
      <c r="I624" s="39" t="n"/>
      <c r="J624" s="13">
        <f>IF(N(F624)&gt;0,G624/F624,"")</f>
        <v/>
      </c>
      <c r="K624" s="10">
        <f>IF(N(G624)&gt;0,E624/G624,"")</f>
        <v/>
      </c>
      <c r="L624" s="10">
        <f>IF(N(H624)&gt;0,E624/H624,"")</f>
        <v/>
      </c>
      <c r="M624" s="11">
        <f>IF(N(E624)&gt;0,I624/E624,"")</f>
        <v/>
      </c>
      <c r="N624" s="10">
        <f>IF(AND(E624="",I624=""),"",N(I624)*(1-COM-COM_SHOP)-N(E624)*(1+IMP_META))</f>
        <v/>
      </c>
      <c r="O624" s="37" t="n"/>
    </row>
    <row r="625">
      <c r="A625" s="36" t="n"/>
      <c r="B625" s="37" t="n"/>
      <c r="C625" s="37" t="n"/>
      <c r="D625" s="38">
        <f>IF(C625="","",IFERROR(INDEX(Anuncios!$B$6:$B$65,MATCH(C625,Anuncios!$A$6:$A$65,0)),"(no está en Anuncios)"))</f>
        <v/>
      </c>
      <c r="E625" s="39" t="n"/>
      <c r="F625" s="40" t="n"/>
      <c r="G625" s="40" t="n"/>
      <c r="H625" s="40" t="n"/>
      <c r="I625" s="39" t="n"/>
      <c r="J625" s="13">
        <f>IF(N(F625)&gt;0,G625/F625,"")</f>
        <v/>
      </c>
      <c r="K625" s="10">
        <f>IF(N(G625)&gt;0,E625/G625,"")</f>
        <v/>
      </c>
      <c r="L625" s="10">
        <f>IF(N(H625)&gt;0,E625/H625,"")</f>
        <v/>
      </c>
      <c r="M625" s="11">
        <f>IF(N(E625)&gt;0,I625/E625,"")</f>
        <v/>
      </c>
      <c r="N625" s="10">
        <f>IF(AND(E625="",I625=""),"",N(I625)*(1-COM-COM_SHOP)-N(E625)*(1+IMP_META))</f>
        <v/>
      </c>
      <c r="O625" s="37" t="n"/>
    </row>
    <row r="626">
      <c r="A626" s="36" t="n"/>
      <c r="B626" s="37" t="n"/>
      <c r="C626" s="37" t="n"/>
      <c r="D626" s="38">
        <f>IF(C626="","",IFERROR(INDEX(Anuncios!$B$6:$B$65,MATCH(C626,Anuncios!$A$6:$A$65,0)),"(no está en Anuncios)"))</f>
        <v/>
      </c>
      <c r="E626" s="39" t="n"/>
      <c r="F626" s="40" t="n"/>
      <c r="G626" s="40" t="n"/>
      <c r="H626" s="40" t="n"/>
      <c r="I626" s="39" t="n"/>
      <c r="J626" s="13">
        <f>IF(N(F626)&gt;0,G626/F626,"")</f>
        <v/>
      </c>
      <c r="K626" s="10">
        <f>IF(N(G626)&gt;0,E626/G626,"")</f>
        <v/>
      </c>
      <c r="L626" s="10">
        <f>IF(N(H626)&gt;0,E626/H626,"")</f>
        <v/>
      </c>
      <c r="M626" s="11">
        <f>IF(N(E626)&gt;0,I626/E626,"")</f>
        <v/>
      </c>
      <c r="N626" s="10">
        <f>IF(AND(E626="",I626=""),"",N(I626)*(1-COM-COM_SHOP)-N(E626)*(1+IMP_META))</f>
        <v/>
      </c>
      <c r="O626" s="37" t="n"/>
    </row>
    <row r="627">
      <c r="A627" s="36" t="n"/>
      <c r="B627" s="37" t="n"/>
      <c r="C627" s="37" t="n"/>
      <c r="D627" s="38">
        <f>IF(C627="","",IFERROR(INDEX(Anuncios!$B$6:$B$65,MATCH(C627,Anuncios!$A$6:$A$65,0)),"(no está en Anuncios)"))</f>
        <v/>
      </c>
      <c r="E627" s="39" t="n"/>
      <c r="F627" s="40" t="n"/>
      <c r="G627" s="40" t="n"/>
      <c r="H627" s="40" t="n"/>
      <c r="I627" s="39" t="n"/>
      <c r="J627" s="13">
        <f>IF(N(F627)&gt;0,G627/F627,"")</f>
        <v/>
      </c>
      <c r="K627" s="10">
        <f>IF(N(G627)&gt;0,E627/G627,"")</f>
        <v/>
      </c>
      <c r="L627" s="10">
        <f>IF(N(H627)&gt;0,E627/H627,"")</f>
        <v/>
      </c>
      <c r="M627" s="11">
        <f>IF(N(E627)&gt;0,I627/E627,"")</f>
        <v/>
      </c>
      <c r="N627" s="10">
        <f>IF(AND(E627="",I627=""),"",N(I627)*(1-COM-COM_SHOP)-N(E627)*(1+IMP_META))</f>
        <v/>
      </c>
      <c r="O627" s="37" t="n"/>
    </row>
    <row r="628">
      <c r="A628" s="36" t="n"/>
      <c r="B628" s="37" t="n"/>
      <c r="C628" s="37" t="n"/>
      <c r="D628" s="38">
        <f>IF(C628="","",IFERROR(INDEX(Anuncios!$B$6:$B$65,MATCH(C628,Anuncios!$A$6:$A$65,0)),"(no está en Anuncios)"))</f>
        <v/>
      </c>
      <c r="E628" s="39" t="n"/>
      <c r="F628" s="40" t="n"/>
      <c r="G628" s="40" t="n"/>
      <c r="H628" s="40" t="n"/>
      <c r="I628" s="39" t="n"/>
      <c r="J628" s="13">
        <f>IF(N(F628)&gt;0,G628/F628,"")</f>
        <v/>
      </c>
      <c r="K628" s="10">
        <f>IF(N(G628)&gt;0,E628/G628,"")</f>
        <v/>
      </c>
      <c r="L628" s="10">
        <f>IF(N(H628)&gt;0,E628/H628,"")</f>
        <v/>
      </c>
      <c r="M628" s="11">
        <f>IF(N(E628)&gt;0,I628/E628,"")</f>
        <v/>
      </c>
      <c r="N628" s="10">
        <f>IF(AND(E628="",I628=""),"",N(I628)*(1-COM-COM_SHOP)-N(E628)*(1+IMP_META))</f>
        <v/>
      </c>
      <c r="O628" s="37" t="n"/>
    </row>
    <row r="629">
      <c r="A629" s="36" t="n"/>
      <c r="B629" s="37" t="n"/>
      <c r="C629" s="37" t="n"/>
      <c r="D629" s="38">
        <f>IF(C629="","",IFERROR(INDEX(Anuncios!$B$6:$B$65,MATCH(C629,Anuncios!$A$6:$A$65,0)),"(no está en Anuncios)"))</f>
        <v/>
      </c>
      <c r="E629" s="39" t="n"/>
      <c r="F629" s="40" t="n"/>
      <c r="G629" s="40" t="n"/>
      <c r="H629" s="40" t="n"/>
      <c r="I629" s="39" t="n"/>
      <c r="J629" s="13">
        <f>IF(N(F629)&gt;0,G629/F629,"")</f>
        <v/>
      </c>
      <c r="K629" s="10">
        <f>IF(N(G629)&gt;0,E629/G629,"")</f>
        <v/>
      </c>
      <c r="L629" s="10">
        <f>IF(N(H629)&gt;0,E629/H629,"")</f>
        <v/>
      </c>
      <c r="M629" s="11">
        <f>IF(N(E629)&gt;0,I629/E629,"")</f>
        <v/>
      </c>
      <c r="N629" s="10">
        <f>IF(AND(E629="",I629=""),"",N(I629)*(1-COM-COM_SHOP)-N(E629)*(1+IMP_META))</f>
        <v/>
      </c>
      <c r="O629" s="37" t="n"/>
    </row>
    <row r="630">
      <c r="A630" s="36" t="n"/>
      <c r="B630" s="37" t="n"/>
      <c r="C630" s="37" t="n"/>
      <c r="D630" s="38">
        <f>IF(C630="","",IFERROR(INDEX(Anuncios!$B$6:$B$65,MATCH(C630,Anuncios!$A$6:$A$65,0)),"(no está en Anuncios)"))</f>
        <v/>
      </c>
      <c r="E630" s="39" t="n"/>
      <c r="F630" s="40" t="n"/>
      <c r="G630" s="40" t="n"/>
      <c r="H630" s="40" t="n"/>
      <c r="I630" s="39" t="n"/>
      <c r="J630" s="13">
        <f>IF(N(F630)&gt;0,G630/F630,"")</f>
        <v/>
      </c>
      <c r="K630" s="10">
        <f>IF(N(G630)&gt;0,E630/G630,"")</f>
        <v/>
      </c>
      <c r="L630" s="10">
        <f>IF(N(H630)&gt;0,E630/H630,"")</f>
        <v/>
      </c>
      <c r="M630" s="11">
        <f>IF(N(E630)&gt;0,I630/E630,"")</f>
        <v/>
      </c>
      <c r="N630" s="10">
        <f>IF(AND(E630="",I630=""),"",N(I630)*(1-COM-COM_SHOP)-N(E630)*(1+IMP_META))</f>
        <v/>
      </c>
      <c r="O630" s="37" t="n"/>
    </row>
    <row r="631">
      <c r="A631" s="36" t="n"/>
      <c r="B631" s="37" t="n"/>
      <c r="C631" s="37" t="n"/>
      <c r="D631" s="38">
        <f>IF(C631="","",IFERROR(INDEX(Anuncios!$B$6:$B$65,MATCH(C631,Anuncios!$A$6:$A$65,0)),"(no está en Anuncios)"))</f>
        <v/>
      </c>
      <c r="E631" s="39" t="n"/>
      <c r="F631" s="40" t="n"/>
      <c r="G631" s="40" t="n"/>
      <c r="H631" s="40" t="n"/>
      <c r="I631" s="39" t="n"/>
      <c r="J631" s="13">
        <f>IF(N(F631)&gt;0,G631/F631,"")</f>
        <v/>
      </c>
      <c r="K631" s="10">
        <f>IF(N(G631)&gt;0,E631/G631,"")</f>
        <v/>
      </c>
      <c r="L631" s="10">
        <f>IF(N(H631)&gt;0,E631/H631,"")</f>
        <v/>
      </c>
      <c r="M631" s="11">
        <f>IF(N(E631)&gt;0,I631/E631,"")</f>
        <v/>
      </c>
      <c r="N631" s="10">
        <f>IF(AND(E631="",I631=""),"",N(I631)*(1-COM-COM_SHOP)-N(E631)*(1+IMP_META))</f>
        <v/>
      </c>
      <c r="O631" s="37" t="n"/>
    </row>
    <row r="632">
      <c r="A632" s="36" t="n"/>
      <c r="B632" s="37" t="n"/>
      <c r="C632" s="37" t="n"/>
      <c r="D632" s="38">
        <f>IF(C632="","",IFERROR(INDEX(Anuncios!$B$6:$B$65,MATCH(C632,Anuncios!$A$6:$A$65,0)),"(no está en Anuncios)"))</f>
        <v/>
      </c>
      <c r="E632" s="39" t="n"/>
      <c r="F632" s="40" t="n"/>
      <c r="G632" s="40" t="n"/>
      <c r="H632" s="40" t="n"/>
      <c r="I632" s="39" t="n"/>
      <c r="J632" s="13">
        <f>IF(N(F632)&gt;0,G632/F632,"")</f>
        <v/>
      </c>
      <c r="K632" s="10">
        <f>IF(N(G632)&gt;0,E632/G632,"")</f>
        <v/>
      </c>
      <c r="L632" s="10">
        <f>IF(N(H632)&gt;0,E632/H632,"")</f>
        <v/>
      </c>
      <c r="M632" s="11">
        <f>IF(N(E632)&gt;0,I632/E632,"")</f>
        <v/>
      </c>
      <c r="N632" s="10">
        <f>IF(AND(E632="",I632=""),"",N(I632)*(1-COM-COM_SHOP)-N(E632)*(1+IMP_META))</f>
        <v/>
      </c>
      <c r="O632" s="37" t="n"/>
    </row>
    <row r="633">
      <c r="A633" s="36" t="n"/>
      <c r="B633" s="37" t="n"/>
      <c r="C633" s="37" t="n"/>
      <c r="D633" s="38">
        <f>IF(C633="","",IFERROR(INDEX(Anuncios!$B$6:$B$65,MATCH(C633,Anuncios!$A$6:$A$65,0)),"(no está en Anuncios)"))</f>
        <v/>
      </c>
      <c r="E633" s="39" t="n"/>
      <c r="F633" s="40" t="n"/>
      <c r="G633" s="40" t="n"/>
      <c r="H633" s="40" t="n"/>
      <c r="I633" s="39" t="n"/>
      <c r="J633" s="13">
        <f>IF(N(F633)&gt;0,G633/F633,"")</f>
        <v/>
      </c>
      <c r="K633" s="10">
        <f>IF(N(G633)&gt;0,E633/G633,"")</f>
        <v/>
      </c>
      <c r="L633" s="10">
        <f>IF(N(H633)&gt;0,E633/H633,"")</f>
        <v/>
      </c>
      <c r="M633" s="11">
        <f>IF(N(E633)&gt;0,I633/E633,"")</f>
        <v/>
      </c>
      <c r="N633" s="10">
        <f>IF(AND(E633="",I633=""),"",N(I633)*(1-COM-COM_SHOP)-N(E633)*(1+IMP_META))</f>
        <v/>
      </c>
      <c r="O633" s="37" t="n"/>
    </row>
    <row r="634">
      <c r="A634" s="36" t="n"/>
      <c r="B634" s="37" t="n"/>
      <c r="C634" s="37" t="n"/>
      <c r="D634" s="38">
        <f>IF(C634="","",IFERROR(INDEX(Anuncios!$B$6:$B$65,MATCH(C634,Anuncios!$A$6:$A$65,0)),"(no está en Anuncios)"))</f>
        <v/>
      </c>
      <c r="E634" s="39" t="n"/>
      <c r="F634" s="40" t="n"/>
      <c r="G634" s="40" t="n"/>
      <c r="H634" s="40" t="n"/>
      <c r="I634" s="39" t="n"/>
      <c r="J634" s="13">
        <f>IF(N(F634)&gt;0,G634/F634,"")</f>
        <v/>
      </c>
      <c r="K634" s="10">
        <f>IF(N(G634)&gt;0,E634/G634,"")</f>
        <v/>
      </c>
      <c r="L634" s="10">
        <f>IF(N(H634)&gt;0,E634/H634,"")</f>
        <v/>
      </c>
      <c r="M634" s="11">
        <f>IF(N(E634)&gt;0,I634/E634,"")</f>
        <v/>
      </c>
      <c r="N634" s="10">
        <f>IF(AND(E634="",I634=""),"",N(I634)*(1-COM-COM_SHOP)-N(E634)*(1+IMP_META))</f>
        <v/>
      </c>
      <c r="O634" s="37" t="n"/>
    </row>
    <row r="635">
      <c r="A635" s="36" t="n"/>
      <c r="B635" s="37" t="n"/>
      <c r="C635" s="37" t="n"/>
      <c r="D635" s="38">
        <f>IF(C635="","",IFERROR(INDEX(Anuncios!$B$6:$B$65,MATCH(C635,Anuncios!$A$6:$A$65,0)),"(no está en Anuncios)"))</f>
        <v/>
      </c>
      <c r="E635" s="39" t="n"/>
      <c r="F635" s="40" t="n"/>
      <c r="G635" s="40" t="n"/>
      <c r="H635" s="40" t="n"/>
      <c r="I635" s="39" t="n"/>
      <c r="J635" s="13">
        <f>IF(N(F635)&gt;0,G635/F635,"")</f>
        <v/>
      </c>
      <c r="K635" s="10">
        <f>IF(N(G635)&gt;0,E635/G635,"")</f>
        <v/>
      </c>
      <c r="L635" s="10">
        <f>IF(N(H635)&gt;0,E635/H635,"")</f>
        <v/>
      </c>
      <c r="M635" s="11">
        <f>IF(N(E635)&gt;0,I635/E635,"")</f>
        <v/>
      </c>
      <c r="N635" s="10">
        <f>IF(AND(E635="",I635=""),"",N(I635)*(1-COM-COM_SHOP)-N(E635)*(1+IMP_META))</f>
        <v/>
      </c>
      <c r="O635" s="37" t="n"/>
    </row>
    <row r="636">
      <c r="A636" s="36" t="n"/>
      <c r="B636" s="37" t="n"/>
      <c r="C636" s="37" t="n"/>
      <c r="D636" s="38">
        <f>IF(C636="","",IFERROR(INDEX(Anuncios!$B$6:$B$65,MATCH(C636,Anuncios!$A$6:$A$65,0)),"(no está en Anuncios)"))</f>
        <v/>
      </c>
      <c r="E636" s="39" t="n"/>
      <c r="F636" s="40" t="n"/>
      <c r="G636" s="40" t="n"/>
      <c r="H636" s="40" t="n"/>
      <c r="I636" s="39" t="n"/>
      <c r="J636" s="13">
        <f>IF(N(F636)&gt;0,G636/F636,"")</f>
        <v/>
      </c>
      <c r="K636" s="10">
        <f>IF(N(G636)&gt;0,E636/G636,"")</f>
        <v/>
      </c>
      <c r="L636" s="10">
        <f>IF(N(H636)&gt;0,E636/H636,"")</f>
        <v/>
      </c>
      <c r="M636" s="11">
        <f>IF(N(E636)&gt;0,I636/E636,"")</f>
        <v/>
      </c>
      <c r="N636" s="10">
        <f>IF(AND(E636="",I636=""),"",N(I636)*(1-COM-COM_SHOP)-N(E636)*(1+IMP_META))</f>
        <v/>
      </c>
      <c r="O636" s="37" t="n"/>
    </row>
    <row r="637">
      <c r="A637" s="36" t="n"/>
      <c r="B637" s="37" t="n"/>
      <c r="C637" s="37" t="n"/>
      <c r="D637" s="38">
        <f>IF(C637="","",IFERROR(INDEX(Anuncios!$B$6:$B$65,MATCH(C637,Anuncios!$A$6:$A$65,0)),"(no está en Anuncios)"))</f>
        <v/>
      </c>
      <c r="E637" s="39" t="n"/>
      <c r="F637" s="40" t="n"/>
      <c r="G637" s="40" t="n"/>
      <c r="H637" s="40" t="n"/>
      <c r="I637" s="39" t="n"/>
      <c r="J637" s="13">
        <f>IF(N(F637)&gt;0,G637/F637,"")</f>
        <v/>
      </c>
      <c r="K637" s="10">
        <f>IF(N(G637)&gt;0,E637/G637,"")</f>
        <v/>
      </c>
      <c r="L637" s="10">
        <f>IF(N(H637)&gt;0,E637/H637,"")</f>
        <v/>
      </c>
      <c r="M637" s="11">
        <f>IF(N(E637)&gt;0,I637/E637,"")</f>
        <v/>
      </c>
      <c r="N637" s="10">
        <f>IF(AND(E637="",I637=""),"",N(I637)*(1-COM-COM_SHOP)-N(E637)*(1+IMP_META))</f>
        <v/>
      </c>
      <c r="O637" s="37" t="n"/>
    </row>
    <row r="638">
      <c r="A638" s="36" t="n"/>
      <c r="B638" s="37" t="n"/>
      <c r="C638" s="37" t="n"/>
      <c r="D638" s="38">
        <f>IF(C638="","",IFERROR(INDEX(Anuncios!$B$6:$B$65,MATCH(C638,Anuncios!$A$6:$A$65,0)),"(no está en Anuncios)"))</f>
        <v/>
      </c>
      <c r="E638" s="39" t="n"/>
      <c r="F638" s="40" t="n"/>
      <c r="G638" s="40" t="n"/>
      <c r="H638" s="40" t="n"/>
      <c r="I638" s="39" t="n"/>
      <c r="J638" s="13">
        <f>IF(N(F638)&gt;0,G638/F638,"")</f>
        <v/>
      </c>
      <c r="K638" s="10">
        <f>IF(N(G638)&gt;0,E638/G638,"")</f>
        <v/>
      </c>
      <c r="L638" s="10">
        <f>IF(N(H638)&gt;0,E638/H638,"")</f>
        <v/>
      </c>
      <c r="M638" s="11">
        <f>IF(N(E638)&gt;0,I638/E638,"")</f>
        <v/>
      </c>
      <c r="N638" s="10">
        <f>IF(AND(E638="",I638=""),"",N(I638)*(1-COM-COM_SHOP)-N(E638)*(1+IMP_META))</f>
        <v/>
      </c>
      <c r="O638" s="37" t="n"/>
    </row>
    <row r="639">
      <c r="A639" s="36" t="n"/>
      <c r="B639" s="37" t="n"/>
      <c r="C639" s="37" t="n"/>
      <c r="D639" s="38">
        <f>IF(C639="","",IFERROR(INDEX(Anuncios!$B$6:$B$65,MATCH(C639,Anuncios!$A$6:$A$65,0)),"(no está en Anuncios)"))</f>
        <v/>
      </c>
      <c r="E639" s="39" t="n"/>
      <c r="F639" s="40" t="n"/>
      <c r="G639" s="40" t="n"/>
      <c r="H639" s="40" t="n"/>
      <c r="I639" s="39" t="n"/>
      <c r="J639" s="13">
        <f>IF(N(F639)&gt;0,G639/F639,"")</f>
        <v/>
      </c>
      <c r="K639" s="10">
        <f>IF(N(G639)&gt;0,E639/G639,"")</f>
        <v/>
      </c>
      <c r="L639" s="10">
        <f>IF(N(H639)&gt;0,E639/H639,"")</f>
        <v/>
      </c>
      <c r="M639" s="11">
        <f>IF(N(E639)&gt;0,I639/E639,"")</f>
        <v/>
      </c>
      <c r="N639" s="10">
        <f>IF(AND(E639="",I639=""),"",N(I639)*(1-COM-COM_SHOP)-N(E639)*(1+IMP_META))</f>
        <v/>
      </c>
      <c r="O639" s="37" t="n"/>
    </row>
    <row r="640">
      <c r="A640" s="36" t="n"/>
      <c r="B640" s="37" t="n"/>
      <c r="C640" s="37" t="n"/>
      <c r="D640" s="38">
        <f>IF(C640="","",IFERROR(INDEX(Anuncios!$B$6:$B$65,MATCH(C640,Anuncios!$A$6:$A$65,0)),"(no está en Anuncios)"))</f>
        <v/>
      </c>
      <c r="E640" s="39" t="n"/>
      <c r="F640" s="40" t="n"/>
      <c r="G640" s="40" t="n"/>
      <c r="H640" s="40" t="n"/>
      <c r="I640" s="39" t="n"/>
      <c r="J640" s="13">
        <f>IF(N(F640)&gt;0,G640/F640,"")</f>
        <v/>
      </c>
      <c r="K640" s="10">
        <f>IF(N(G640)&gt;0,E640/G640,"")</f>
        <v/>
      </c>
      <c r="L640" s="10">
        <f>IF(N(H640)&gt;0,E640/H640,"")</f>
        <v/>
      </c>
      <c r="M640" s="11">
        <f>IF(N(E640)&gt;0,I640/E640,"")</f>
        <v/>
      </c>
      <c r="N640" s="10">
        <f>IF(AND(E640="",I640=""),"",N(I640)*(1-COM-COM_SHOP)-N(E640)*(1+IMP_META))</f>
        <v/>
      </c>
      <c r="O640" s="37" t="n"/>
    </row>
    <row r="641">
      <c r="A641" s="36" t="n"/>
      <c r="B641" s="37" t="n"/>
      <c r="C641" s="37" t="n"/>
      <c r="D641" s="38">
        <f>IF(C641="","",IFERROR(INDEX(Anuncios!$B$6:$B$65,MATCH(C641,Anuncios!$A$6:$A$65,0)),"(no está en Anuncios)"))</f>
        <v/>
      </c>
      <c r="E641" s="39" t="n"/>
      <c r="F641" s="40" t="n"/>
      <c r="G641" s="40" t="n"/>
      <c r="H641" s="40" t="n"/>
      <c r="I641" s="39" t="n"/>
      <c r="J641" s="13">
        <f>IF(N(F641)&gt;0,G641/F641,"")</f>
        <v/>
      </c>
      <c r="K641" s="10">
        <f>IF(N(G641)&gt;0,E641/G641,"")</f>
        <v/>
      </c>
      <c r="L641" s="10">
        <f>IF(N(H641)&gt;0,E641/H641,"")</f>
        <v/>
      </c>
      <c r="M641" s="11">
        <f>IF(N(E641)&gt;0,I641/E641,"")</f>
        <v/>
      </c>
      <c r="N641" s="10">
        <f>IF(AND(E641="",I641=""),"",N(I641)*(1-COM-COM_SHOP)-N(E641)*(1+IMP_META))</f>
        <v/>
      </c>
      <c r="O641" s="37" t="n"/>
    </row>
    <row r="642">
      <c r="A642" s="36" t="n"/>
      <c r="B642" s="37" t="n"/>
      <c r="C642" s="37" t="n"/>
      <c r="D642" s="38">
        <f>IF(C642="","",IFERROR(INDEX(Anuncios!$B$6:$B$65,MATCH(C642,Anuncios!$A$6:$A$65,0)),"(no está en Anuncios)"))</f>
        <v/>
      </c>
      <c r="E642" s="39" t="n"/>
      <c r="F642" s="40" t="n"/>
      <c r="G642" s="40" t="n"/>
      <c r="H642" s="40" t="n"/>
      <c r="I642" s="39" t="n"/>
      <c r="J642" s="13">
        <f>IF(N(F642)&gt;0,G642/F642,"")</f>
        <v/>
      </c>
      <c r="K642" s="10">
        <f>IF(N(G642)&gt;0,E642/G642,"")</f>
        <v/>
      </c>
      <c r="L642" s="10">
        <f>IF(N(H642)&gt;0,E642/H642,"")</f>
        <v/>
      </c>
      <c r="M642" s="11">
        <f>IF(N(E642)&gt;0,I642/E642,"")</f>
        <v/>
      </c>
      <c r="N642" s="10">
        <f>IF(AND(E642="",I642=""),"",N(I642)*(1-COM-COM_SHOP)-N(E642)*(1+IMP_META))</f>
        <v/>
      </c>
      <c r="O642" s="37" t="n"/>
    </row>
    <row r="643">
      <c r="A643" s="36" t="n"/>
      <c r="B643" s="37" t="n"/>
      <c r="C643" s="37" t="n"/>
      <c r="D643" s="38">
        <f>IF(C643="","",IFERROR(INDEX(Anuncios!$B$6:$B$65,MATCH(C643,Anuncios!$A$6:$A$65,0)),"(no está en Anuncios)"))</f>
        <v/>
      </c>
      <c r="E643" s="39" t="n"/>
      <c r="F643" s="40" t="n"/>
      <c r="G643" s="40" t="n"/>
      <c r="H643" s="40" t="n"/>
      <c r="I643" s="39" t="n"/>
      <c r="J643" s="13">
        <f>IF(N(F643)&gt;0,G643/F643,"")</f>
        <v/>
      </c>
      <c r="K643" s="10">
        <f>IF(N(G643)&gt;0,E643/G643,"")</f>
        <v/>
      </c>
      <c r="L643" s="10">
        <f>IF(N(H643)&gt;0,E643/H643,"")</f>
        <v/>
      </c>
      <c r="M643" s="11">
        <f>IF(N(E643)&gt;0,I643/E643,"")</f>
        <v/>
      </c>
      <c r="N643" s="10">
        <f>IF(AND(E643="",I643=""),"",N(I643)*(1-COM-COM_SHOP)-N(E643)*(1+IMP_META))</f>
        <v/>
      </c>
      <c r="O643" s="37" t="n"/>
    </row>
    <row r="644">
      <c r="A644" s="36" t="n"/>
      <c r="B644" s="37" t="n"/>
      <c r="C644" s="37" t="n"/>
      <c r="D644" s="38">
        <f>IF(C644="","",IFERROR(INDEX(Anuncios!$B$6:$B$65,MATCH(C644,Anuncios!$A$6:$A$65,0)),"(no está en Anuncios)"))</f>
        <v/>
      </c>
      <c r="E644" s="39" t="n"/>
      <c r="F644" s="40" t="n"/>
      <c r="G644" s="40" t="n"/>
      <c r="H644" s="40" t="n"/>
      <c r="I644" s="39" t="n"/>
      <c r="J644" s="13">
        <f>IF(N(F644)&gt;0,G644/F644,"")</f>
        <v/>
      </c>
      <c r="K644" s="10">
        <f>IF(N(G644)&gt;0,E644/G644,"")</f>
        <v/>
      </c>
      <c r="L644" s="10">
        <f>IF(N(H644)&gt;0,E644/H644,"")</f>
        <v/>
      </c>
      <c r="M644" s="11">
        <f>IF(N(E644)&gt;0,I644/E644,"")</f>
        <v/>
      </c>
      <c r="N644" s="10">
        <f>IF(AND(E644="",I644=""),"",N(I644)*(1-COM-COM_SHOP)-N(E644)*(1+IMP_META))</f>
        <v/>
      </c>
      <c r="O644" s="37" t="n"/>
    </row>
    <row r="645">
      <c r="A645" s="36" t="n"/>
      <c r="B645" s="37" t="n"/>
      <c r="C645" s="37" t="n"/>
      <c r="D645" s="38">
        <f>IF(C645="","",IFERROR(INDEX(Anuncios!$B$6:$B$65,MATCH(C645,Anuncios!$A$6:$A$65,0)),"(no está en Anuncios)"))</f>
        <v/>
      </c>
      <c r="E645" s="39" t="n"/>
      <c r="F645" s="40" t="n"/>
      <c r="G645" s="40" t="n"/>
      <c r="H645" s="40" t="n"/>
      <c r="I645" s="39" t="n"/>
      <c r="J645" s="13">
        <f>IF(N(F645)&gt;0,G645/F645,"")</f>
        <v/>
      </c>
      <c r="K645" s="10">
        <f>IF(N(G645)&gt;0,E645/G645,"")</f>
        <v/>
      </c>
      <c r="L645" s="10">
        <f>IF(N(H645)&gt;0,E645/H645,"")</f>
        <v/>
      </c>
      <c r="M645" s="11">
        <f>IF(N(E645)&gt;0,I645/E645,"")</f>
        <v/>
      </c>
      <c r="N645" s="10">
        <f>IF(AND(E645="",I645=""),"",N(I645)*(1-COM-COM_SHOP)-N(E645)*(1+IMP_META))</f>
        <v/>
      </c>
      <c r="O645" s="37" t="n"/>
    </row>
    <row r="646">
      <c r="A646" s="36" t="n"/>
      <c r="B646" s="37" t="n"/>
      <c r="C646" s="37" t="n"/>
      <c r="D646" s="38">
        <f>IF(C646="","",IFERROR(INDEX(Anuncios!$B$6:$B$65,MATCH(C646,Anuncios!$A$6:$A$65,0)),"(no está en Anuncios)"))</f>
        <v/>
      </c>
      <c r="E646" s="39" t="n"/>
      <c r="F646" s="40" t="n"/>
      <c r="G646" s="40" t="n"/>
      <c r="H646" s="40" t="n"/>
      <c r="I646" s="39" t="n"/>
      <c r="J646" s="13">
        <f>IF(N(F646)&gt;0,G646/F646,"")</f>
        <v/>
      </c>
      <c r="K646" s="10">
        <f>IF(N(G646)&gt;0,E646/G646,"")</f>
        <v/>
      </c>
      <c r="L646" s="10">
        <f>IF(N(H646)&gt;0,E646/H646,"")</f>
        <v/>
      </c>
      <c r="M646" s="11">
        <f>IF(N(E646)&gt;0,I646/E646,"")</f>
        <v/>
      </c>
      <c r="N646" s="10">
        <f>IF(AND(E646="",I646=""),"",N(I646)*(1-COM-COM_SHOP)-N(E646)*(1+IMP_META))</f>
        <v/>
      </c>
      <c r="O646" s="37" t="n"/>
    </row>
    <row r="647">
      <c r="A647" s="36" t="n"/>
      <c r="B647" s="37" t="n"/>
      <c r="C647" s="37" t="n"/>
      <c r="D647" s="38">
        <f>IF(C647="","",IFERROR(INDEX(Anuncios!$B$6:$B$65,MATCH(C647,Anuncios!$A$6:$A$65,0)),"(no está en Anuncios)"))</f>
        <v/>
      </c>
      <c r="E647" s="39" t="n"/>
      <c r="F647" s="40" t="n"/>
      <c r="G647" s="40" t="n"/>
      <c r="H647" s="40" t="n"/>
      <c r="I647" s="39" t="n"/>
      <c r="J647" s="13">
        <f>IF(N(F647)&gt;0,G647/F647,"")</f>
        <v/>
      </c>
      <c r="K647" s="10">
        <f>IF(N(G647)&gt;0,E647/G647,"")</f>
        <v/>
      </c>
      <c r="L647" s="10">
        <f>IF(N(H647)&gt;0,E647/H647,"")</f>
        <v/>
      </c>
      <c r="M647" s="11">
        <f>IF(N(E647)&gt;0,I647/E647,"")</f>
        <v/>
      </c>
      <c r="N647" s="10">
        <f>IF(AND(E647="",I647=""),"",N(I647)*(1-COM-COM_SHOP)-N(E647)*(1+IMP_META))</f>
        <v/>
      </c>
      <c r="O647" s="37" t="n"/>
    </row>
    <row r="648">
      <c r="A648" s="36" t="n"/>
      <c r="B648" s="37" t="n"/>
      <c r="C648" s="37" t="n"/>
      <c r="D648" s="38">
        <f>IF(C648="","",IFERROR(INDEX(Anuncios!$B$6:$B$65,MATCH(C648,Anuncios!$A$6:$A$65,0)),"(no está en Anuncios)"))</f>
        <v/>
      </c>
      <c r="E648" s="39" t="n"/>
      <c r="F648" s="40" t="n"/>
      <c r="G648" s="40" t="n"/>
      <c r="H648" s="40" t="n"/>
      <c r="I648" s="39" t="n"/>
      <c r="J648" s="13">
        <f>IF(N(F648)&gt;0,G648/F648,"")</f>
        <v/>
      </c>
      <c r="K648" s="10">
        <f>IF(N(G648)&gt;0,E648/G648,"")</f>
        <v/>
      </c>
      <c r="L648" s="10">
        <f>IF(N(H648)&gt;0,E648/H648,"")</f>
        <v/>
      </c>
      <c r="M648" s="11">
        <f>IF(N(E648)&gt;0,I648/E648,"")</f>
        <v/>
      </c>
      <c r="N648" s="10">
        <f>IF(AND(E648="",I648=""),"",N(I648)*(1-COM-COM_SHOP)-N(E648)*(1+IMP_META))</f>
        <v/>
      </c>
      <c r="O648" s="37" t="n"/>
    </row>
    <row r="649">
      <c r="A649" s="36" t="n"/>
      <c r="B649" s="37" t="n"/>
      <c r="C649" s="37" t="n"/>
      <c r="D649" s="38">
        <f>IF(C649="","",IFERROR(INDEX(Anuncios!$B$6:$B$65,MATCH(C649,Anuncios!$A$6:$A$65,0)),"(no está en Anuncios)"))</f>
        <v/>
      </c>
      <c r="E649" s="39" t="n"/>
      <c r="F649" s="40" t="n"/>
      <c r="G649" s="40" t="n"/>
      <c r="H649" s="40" t="n"/>
      <c r="I649" s="39" t="n"/>
      <c r="J649" s="13">
        <f>IF(N(F649)&gt;0,G649/F649,"")</f>
        <v/>
      </c>
      <c r="K649" s="10">
        <f>IF(N(G649)&gt;0,E649/G649,"")</f>
        <v/>
      </c>
      <c r="L649" s="10">
        <f>IF(N(H649)&gt;0,E649/H649,"")</f>
        <v/>
      </c>
      <c r="M649" s="11">
        <f>IF(N(E649)&gt;0,I649/E649,"")</f>
        <v/>
      </c>
      <c r="N649" s="10">
        <f>IF(AND(E649="",I649=""),"",N(I649)*(1-COM-COM_SHOP)-N(E649)*(1+IMP_META))</f>
        <v/>
      </c>
      <c r="O649" s="37" t="n"/>
    </row>
    <row r="650">
      <c r="A650" s="36" t="n"/>
      <c r="B650" s="37" t="n"/>
      <c r="C650" s="37" t="n"/>
      <c r="D650" s="38">
        <f>IF(C650="","",IFERROR(INDEX(Anuncios!$B$6:$B$65,MATCH(C650,Anuncios!$A$6:$A$65,0)),"(no está en Anuncios)"))</f>
        <v/>
      </c>
      <c r="E650" s="39" t="n"/>
      <c r="F650" s="40" t="n"/>
      <c r="G650" s="40" t="n"/>
      <c r="H650" s="40" t="n"/>
      <c r="I650" s="39" t="n"/>
      <c r="J650" s="13">
        <f>IF(N(F650)&gt;0,G650/F650,"")</f>
        <v/>
      </c>
      <c r="K650" s="10">
        <f>IF(N(G650)&gt;0,E650/G650,"")</f>
        <v/>
      </c>
      <c r="L650" s="10">
        <f>IF(N(H650)&gt;0,E650/H650,"")</f>
        <v/>
      </c>
      <c r="M650" s="11">
        <f>IF(N(E650)&gt;0,I650/E650,"")</f>
        <v/>
      </c>
      <c r="N650" s="10">
        <f>IF(AND(E650="",I650=""),"",N(I650)*(1-COM-COM_SHOP)-N(E650)*(1+IMP_META))</f>
        <v/>
      </c>
      <c r="O650" s="37" t="n"/>
    </row>
    <row r="651">
      <c r="A651" s="36" t="n"/>
      <c r="B651" s="37" t="n"/>
      <c r="C651" s="37" t="n"/>
      <c r="D651" s="38">
        <f>IF(C651="","",IFERROR(INDEX(Anuncios!$B$6:$B$65,MATCH(C651,Anuncios!$A$6:$A$65,0)),"(no está en Anuncios)"))</f>
        <v/>
      </c>
      <c r="E651" s="39" t="n"/>
      <c r="F651" s="40" t="n"/>
      <c r="G651" s="40" t="n"/>
      <c r="H651" s="40" t="n"/>
      <c r="I651" s="39" t="n"/>
      <c r="J651" s="13">
        <f>IF(N(F651)&gt;0,G651/F651,"")</f>
        <v/>
      </c>
      <c r="K651" s="10">
        <f>IF(N(G651)&gt;0,E651/G651,"")</f>
        <v/>
      </c>
      <c r="L651" s="10">
        <f>IF(N(H651)&gt;0,E651/H651,"")</f>
        <v/>
      </c>
      <c r="M651" s="11">
        <f>IF(N(E651)&gt;0,I651/E651,"")</f>
        <v/>
      </c>
      <c r="N651" s="10">
        <f>IF(AND(E651="",I651=""),"",N(I651)*(1-COM-COM_SHOP)-N(E651)*(1+IMP_META))</f>
        <v/>
      </c>
      <c r="O651" s="37" t="n"/>
    </row>
    <row r="652">
      <c r="A652" s="36" t="n"/>
      <c r="B652" s="37" t="n"/>
      <c r="C652" s="37" t="n"/>
      <c r="D652" s="38">
        <f>IF(C652="","",IFERROR(INDEX(Anuncios!$B$6:$B$65,MATCH(C652,Anuncios!$A$6:$A$65,0)),"(no está en Anuncios)"))</f>
        <v/>
      </c>
      <c r="E652" s="39" t="n"/>
      <c r="F652" s="40" t="n"/>
      <c r="G652" s="40" t="n"/>
      <c r="H652" s="40" t="n"/>
      <c r="I652" s="39" t="n"/>
      <c r="J652" s="13">
        <f>IF(N(F652)&gt;0,G652/F652,"")</f>
        <v/>
      </c>
      <c r="K652" s="10">
        <f>IF(N(G652)&gt;0,E652/G652,"")</f>
        <v/>
      </c>
      <c r="L652" s="10">
        <f>IF(N(H652)&gt;0,E652/H652,"")</f>
        <v/>
      </c>
      <c r="M652" s="11">
        <f>IF(N(E652)&gt;0,I652/E652,"")</f>
        <v/>
      </c>
      <c r="N652" s="10">
        <f>IF(AND(E652="",I652=""),"",N(I652)*(1-COM-COM_SHOP)-N(E652)*(1+IMP_META))</f>
        <v/>
      </c>
      <c r="O652" s="37" t="n"/>
    </row>
    <row r="653">
      <c r="A653" s="36" t="n"/>
      <c r="B653" s="37" t="n"/>
      <c r="C653" s="37" t="n"/>
      <c r="D653" s="38">
        <f>IF(C653="","",IFERROR(INDEX(Anuncios!$B$6:$B$65,MATCH(C653,Anuncios!$A$6:$A$65,0)),"(no está en Anuncios)"))</f>
        <v/>
      </c>
      <c r="E653" s="39" t="n"/>
      <c r="F653" s="40" t="n"/>
      <c r="G653" s="40" t="n"/>
      <c r="H653" s="40" t="n"/>
      <c r="I653" s="39" t="n"/>
      <c r="J653" s="13">
        <f>IF(N(F653)&gt;0,G653/F653,"")</f>
        <v/>
      </c>
      <c r="K653" s="10">
        <f>IF(N(G653)&gt;0,E653/G653,"")</f>
        <v/>
      </c>
      <c r="L653" s="10">
        <f>IF(N(H653)&gt;0,E653/H653,"")</f>
        <v/>
      </c>
      <c r="M653" s="11">
        <f>IF(N(E653)&gt;0,I653/E653,"")</f>
        <v/>
      </c>
      <c r="N653" s="10">
        <f>IF(AND(E653="",I653=""),"",N(I653)*(1-COM-COM_SHOP)-N(E653)*(1+IMP_META))</f>
        <v/>
      </c>
      <c r="O653" s="37" t="n"/>
    </row>
    <row r="654">
      <c r="A654" s="36" t="n"/>
      <c r="B654" s="37" t="n"/>
      <c r="C654" s="37" t="n"/>
      <c r="D654" s="38">
        <f>IF(C654="","",IFERROR(INDEX(Anuncios!$B$6:$B$65,MATCH(C654,Anuncios!$A$6:$A$65,0)),"(no está en Anuncios)"))</f>
        <v/>
      </c>
      <c r="E654" s="39" t="n"/>
      <c r="F654" s="40" t="n"/>
      <c r="G654" s="40" t="n"/>
      <c r="H654" s="40" t="n"/>
      <c r="I654" s="39" t="n"/>
      <c r="J654" s="13">
        <f>IF(N(F654)&gt;0,G654/F654,"")</f>
        <v/>
      </c>
      <c r="K654" s="10">
        <f>IF(N(G654)&gt;0,E654/G654,"")</f>
        <v/>
      </c>
      <c r="L654" s="10">
        <f>IF(N(H654)&gt;0,E654/H654,"")</f>
        <v/>
      </c>
      <c r="M654" s="11">
        <f>IF(N(E654)&gt;0,I654/E654,"")</f>
        <v/>
      </c>
      <c r="N654" s="10">
        <f>IF(AND(E654="",I654=""),"",N(I654)*(1-COM-COM_SHOP)-N(E654)*(1+IMP_META))</f>
        <v/>
      </c>
      <c r="O654" s="37" t="n"/>
    </row>
    <row r="655">
      <c r="A655" s="36" t="n"/>
      <c r="B655" s="37" t="n"/>
      <c r="C655" s="37" t="n"/>
      <c r="D655" s="38">
        <f>IF(C655="","",IFERROR(INDEX(Anuncios!$B$6:$B$65,MATCH(C655,Anuncios!$A$6:$A$65,0)),"(no está en Anuncios)"))</f>
        <v/>
      </c>
      <c r="E655" s="39" t="n"/>
      <c r="F655" s="40" t="n"/>
      <c r="G655" s="40" t="n"/>
      <c r="H655" s="40" t="n"/>
      <c r="I655" s="39" t="n"/>
      <c r="J655" s="13">
        <f>IF(N(F655)&gt;0,G655/F655,"")</f>
        <v/>
      </c>
      <c r="K655" s="10">
        <f>IF(N(G655)&gt;0,E655/G655,"")</f>
        <v/>
      </c>
      <c r="L655" s="10">
        <f>IF(N(H655)&gt;0,E655/H655,"")</f>
        <v/>
      </c>
      <c r="M655" s="11">
        <f>IF(N(E655)&gt;0,I655/E655,"")</f>
        <v/>
      </c>
      <c r="N655" s="10">
        <f>IF(AND(E655="",I655=""),"",N(I655)*(1-COM-COM_SHOP)-N(E655)*(1+IMP_META))</f>
        <v/>
      </c>
      <c r="O655" s="37" t="n"/>
    </row>
    <row r="656">
      <c r="A656" s="36" t="n"/>
      <c r="B656" s="37" t="n"/>
      <c r="C656" s="37" t="n"/>
      <c r="D656" s="38">
        <f>IF(C656="","",IFERROR(INDEX(Anuncios!$B$6:$B$65,MATCH(C656,Anuncios!$A$6:$A$65,0)),"(no está en Anuncios)"))</f>
        <v/>
      </c>
      <c r="E656" s="39" t="n"/>
      <c r="F656" s="40" t="n"/>
      <c r="G656" s="40" t="n"/>
      <c r="H656" s="40" t="n"/>
      <c r="I656" s="39" t="n"/>
      <c r="J656" s="13">
        <f>IF(N(F656)&gt;0,G656/F656,"")</f>
        <v/>
      </c>
      <c r="K656" s="10">
        <f>IF(N(G656)&gt;0,E656/G656,"")</f>
        <v/>
      </c>
      <c r="L656" s="10">
        <f>IF(N(H656)&gt;0,E656/H656,"")</f>
        <v/>
      </c>
      <c r="M656" s="11">
        <f>IF(N(E656)&gt;0,I656/E656,"")</f>
        <v/>
      </c>
      <c r="N656" s="10">
        <f>IF(AND(E656="",I656=""),"",N(I656)*(1-COM-COM_SHOP)-N(E656)*(1+IMP_META))</f>
        <v/>
      </c>
      <c r="O656" s="37" t="n"/>
    </row>
    <row r="657">
      <c r="A657" s="36" t="n"/>
      <c r="B657" s="37" t="n"/>
      <c r="C657" s="37" t="n"/>
      <c r="D657" s="38">
        <f>IF(C657="","",IFERROR(INDEX(Anuncios!$B$6:$B$65,MATCH(C657,Anuncios!$A$6:$A$65,0)),"(no está en Anuncios)"))</f>
        <v/>
      </c>
      <c r="E657" s="39" t="n"/>
      <c r="F657" s="40" t="n"/>
      <c r="G657" s="40" t="n"/>
      <c r="H657" s="40" t="n"/>
      <c r="I657" s="39" t="n"/>
      <c r="J657" s="13">
        <f>IF(N(F657)&gt;0,G657/F657,"")</f>
        <v/>
      </c>
      <c r="K657" s="10">
        <f>IF(N(G657)&gt;0,E657/G657,"")</f>
        <v/>
      </c>
      <c r="L657" s="10">
        <f>IF(N(H657)&gt;0,E657/H657,"")</f>
        <v/>
      </c>
      <c r="M657" s="11">
        <f>IF(N(E657)&gt;0,I657/E657,"")</f>
        <v/>
      </c>
      <c r="N657" s="10">
        <f>IF(AND(E657="",I657=""),"",N(I657)*(1-COM-COM_SHOP)-N(E657)*(1+IMP_META))</f>
        <v/>
      </c>
      <c r="O657" s="37" t="n"/>
    </row>
    <row r="658">
      <c r="A658" s="36" t="n"/>
      <c r="B658" s="37" t="n"/>
      <c r="C658" s="37" t="n"/>
      <c r="D658" s="38">
        <f>IF(C658="","",IFERROR(INDEX(Anuncios!$B$6:$B$65,MATCH(C658,Anuncios!$A$6:$A$65,0)),"(no está en Anuncios)"))</f>
        <v/>
      </c>
      <c r="E658" s="39" t="n"/>
      <c r="F658" s="40" t="n"/>
      <c r="G658" s="40" t="n"/>
      <c r="H658" s="40" t="n"/>
      <c r="I658" s="39" t="n"/>
      <c r="J658" s="13">
        <f>IF(N(F658)&gt;0,G658/F658,"")</f>
        <v/>
      </c>
      <c r="K658" s="10">
        <f>IF(N(G658)&gt;0,E658/G658,"")</f>
        <v/>
      </c>
      <c r="L658" s="10">
        <f>IF(N(H658)&gt;0,E658/H658,"")</f>
        <v/>
      </c>
      <c r="M658" s="11">
        <f>IF(N(E658)&gt;0,I658/E658,"")</f>
        <v/>
      </c>
      <c r="N658" s="10">
        <f>IF(AND(E658="",I658=""),"",N(I658)*(1-COM-COM_SHOP)-N(E658)*(1+IMP_META))</f>
        <v/>
      </c>
      <c r="O658" s="37" t="n"/>
    </row>
    <row r="659">
      <c r="A659" s="36" t="n"/>
      <c r="B659" s="37" t="n"/>
      <c r="C659" s="37" t="n"/>
      <c r="D659" s="38">
        <f>IF(C659="","",IFERROR(INDEX(Anuncios!$B$6:$B$65,MATCH(C659,Anuncios!$A$6:$A$65,0)),"(no está en Anuncios)"))</f>
        <v/>
      </c>
      <c r="E659" s="39" t="n"/>
      <c r="F659" s="40" t="n"/>
      <c r="G659" s="40" t="n"/>
      <c r="H659" s="40" t="n"/>
      <c r="I659" s="39" t="n"/>
      <c r="J659" s="13">
        <f>IF(N(F659)&gt;0,G659/F659,"")</f>
        <v/>
      </c>
      <c r="K659" s="10">
        <f>IF(N(G659)&gt;0,E659/G659,"")</f>
        <v/>
      </c>
      <c r="L659" s="10">
        <f>IF(N(H659)&gt;0,E659/H659,"")</f>
        <v/>
      </c>
      <c r="M659" s="11">
        <f>IF(N(E659)&gt;0,I659/E659,"")</f>
        <v/>
      </c>
      <c r="N659" s="10">
        <f>IF(AND(E659="",I659=""),"",N(I659)*(1-COM-COM_SHOP)-N(E659)*(1+IMP_META))</f>
        <v/>
      </c>
      <c r="O659" s="37" t="n"/>
    </row>
    <row r="660">
      <c r="A660" s="36" t="n"/>
      <c r="B660" s="37" t="n"/>
      <c r="C660" s="37" t="n"/>
      <c r="D660" s="38">
        <f>IF(C660="","",IFERROR(INDEX(Anuncios!$B$6:$B$65,MATCH(C660,Anuncios!$A$6:$A$65,0)),"(no está en Anuncios)"))</f>
        <v/>
      </c>
      <c r="E660" s="39" t="n"/>
      <c r="F660" s="40" t="n"/>
      <c r="G660" s="40" t="n"/>
      <c r="H660" s="40" t="n"/>
      <c r="I660" s="39" t="n"/>
      <c r="J660" s="13">
        <f>IF(N(F660)&gt;0,G660/F660,"")</f>
        <v/>
      </c>
      <c r="K660" s="10">
        <f>IF(N(G660)&gt;0,E660/G660,"")</f>
        <v/>
      </c>
      <c r="L660" s="10">
        <f>IF(N(H660)&gt;0,E660/H660,"")</f>
        <v/>
      </c>
      <c r="M660" s="11">
        <f>IF(N(E660)&gt;0,I660/E660,"")</f>
        <v/>
      </c>
      <c r="N660" s="10">
        <f>IF(AND(E660="",I660=""),"",N(I660)*(1-COM-COM_SHOP)-N(E660)*(1+IMP_META))</f>
        <v/>
      </c>
      <c r="O660" s="37" t="n"/>
    </row>
    <row r="661">
      <c r="A661" s="36" t="n"/>
      <c r="B661" s="37" t="n"/>
      <c r="C661" s="37" t="n"/>
      <c r="D661" s="38">
        <f>IF(C661="","",IFERROR(INDEX(Anuncios!$B$6:$B$65,MATCH(C661,Anuncios!$A$6:$A$65,0)),"(no está en Anuncios)"))</f>
        <v/>
      </c>
      <c r="E661" s="39" t="n"/>
      <c r="F661" s="40" t="n"/>
      <c r="G661" s="40" t="n"/>
      <c r="H661" s="40" t="n"/>
      <c r="I661" s="39" t="n"/>
      <c r="J661" s="13">
        <f>IF(N(F661)&gt;0,G661/F661,"")</f>
        <v/>
      </c>
      <c r="K661" s="10">
        <f>IF(N(G661)&gt;0,E661/G661,"")</f>
        <v/>
      </c>
      <c r="L661" s="10">
        <f>IF(N(H661)&gt;0,E661/H661,"")</f>
        <v/>
      </c>
      <c r="M661" s="11">
        <f>IF(N(E661)&gt;0,I661/E661,"")</f>
        <v/>
      </c>
      <c r="N661" s="10">
        <f>IF(AND(E661="",I661=""),"",N(I661)*(1-COM-COM_SHOP)-N(E661)*(1+IMP_META))</f>
        <v/>
      </c>
      <c r="O661" s="37" t="n"/>
    </row>
    <row r="662">
      <c r="A662" s="36" t="n"/>
      <c r="B662" s="37" t="n"/>
      <c r="C662" s="37" t="n"/>
      <c r="D662" s="38">
        <f>IF(C662="","",IFERROR(INDEX(Anuncios!$B$6:$B$65,MATCH(C662,Anuncios!$A$6:$A$65,0)),"(no está en Anuncios)"))</f>
        <v/>
      </c>
      <c r="E662" s="39" t="n"/>
      <c r="F662" s="40" t="n"/>
      <c r="G662" s="40" t="n"/>
      <c r="H662" s="40" t="n"/>
      <c r="I662" s="39" t="n"/>
      <c r="J662" s="13">
        <f>IF(N(F662)&gt;0,G662/F662,"")</f>
        <v/>
      </c>
      <c r="K662" s="10">
        <f>IF(N(G662)&gt;0,E662/G662,"")</f>
        <v/>
      </c>
      <c r="L662" s="10">
        <f>IF(N(H662)&gt;0,E662/H662,"")</f>
        <v/>
      </c>
      <c r="M662" s="11">
        <f>IF(N(E662)&gt;0,I662/E662,"")</f>
        <v/>
      </c>
      <c r="N662" s="10">
        <f>IF(AND(E662="",I662=""),"",N(I662)*(1-COM-COM_SHOP)-N(E662)*(1+IMP_META))</f>
        <v/>
      </c>
      <c r="O662" s="37" t="n"/>
    </row>
    <row r="663">
      <c r="A663" s="36" t="n"/>
      <c r="B663" s="37" t="n"/>
      <c r="C663" s="37" t="n"/>
      <c r="D663" s="38">
        <f>IF(C663="","",IFERROR(INDEX(Anuncios!$B$6:$B$65,MATCH(C663,Anuncios!$A$6:$A$65,0)),"(no está en Anuncios)"))</f>
        <v/>
      </c>
      <c r="E663" s="39" t="n"/>
      <c r="F663" s="40" t="n"/>
      <c r="G663" s="40" t="n"/>
      <c r="H663" s="40" t="n"/>
      <c r="I663" s="39" t="n"/>
      <c r="J663" s="13">
        <f>IF(N(F663)&gt;0,G663/F663,"")</f>
        <v/>
      </c>
      <c r="K663" s="10">
        <f>IF(N(G663)&gt;0,E663/G663,"")</f>
        <v/>
      </c>
      <c r="L663" s="10">
        <f>IF(N(H663)&gt;0,E663/H663,"")</f>
        <v/>
      </c>
      <c r="M663" s="11">
        <f>IF(N(E663)&gt;0,I663/E663,"")</f>
        <v/>
      </c>
      <c r="N663" s="10">
        <f>IF(AND(E663="",I663=""),"",N(I663)*(1-COM-COM_SHOP)-N(E663)*(1+IMP_META))</f>
        <v/>
      </c>
      <c r="O663" s="37" t="n"/>
    </row>
    <row r="664">
      <c r="A664" s="36" t="n"/>
      <c r="B664" s="37" t="n"/>
      <c r="C664" s="37" t="n"/>
      <c r="D664" s="38">
        <f>IF(C664="","",IFERROR(INDEX(Anuncios!$B$6:$B$65,MATCH(C664,Anuncios!$A$6:$A$65,0)),"(no está en Anuncios)"))</f>
        <v/>
      </c>
      <c r="E664" s="39" t="n"/>
      <c r="F664" s="40" t="n"/>
      <c r="G664" s="40" t="n"/>
      <c r="H664" s="40" t="n"/>
      <c r="I664" s="39" t="n"/>
      <c r="J664" s="13">
        <f>IF(N(F664)&gt;0,G664/F664,"")</f>
        <v/>
      </c>
      <c r="K664" s="10">
        <f>IF(N(G664)&gt;0,E664/G664,"")</f>
        <v/>
      </c>
      <c r="L664" s="10">
        <f>IF(N(H664)&gt;0,E664/H664,"")</f>
        <v/>
      </c>
      <c r="M664" s="11">
        <f>IF(N(E664)&gt;0,I664/E664,"")</f>
        <v/>
      </c>
      <c r="N664" s="10">
        <f>IF(AND(E664="",I664=""),"",N(I664)*(1-COM-COM_SHOP)-N(E664)*(1+IMP_META))</f>
        <v/>
      </c>
      <c r="O664" s="37" t="n"/>
    </row>
    <row r="665">
      <c r="A665" s="36" t="n"/>
      <c r="B665" s="37" t="n"/>
      <c r="C665" s="37" t="n"/>
      <c r="D665" s="38">
        <f>IF(C665="","",IFERROR(INDEX(Anuncios!$B$6:$B$65,MATCH(C665,Anuncios!$A$6:$A$65,0)),"(no está en Anuncios)"))</f>
        <v/>
      </c>
      <c r="E665" s="39" t="n"/>
      <c r="F665" s="40" t="n"/>
      <c r="G665" s="40" t="n"/>
      <c r="H665" s="40" t="n"/>
      <c r="I665" s="39" t="n"/>
      <c r="J665" s="13">
        <f>IF(N(F665)&gt;0,G665/F665,"")</f>
        <v/>
      </c>
      <c r="K665" s="10">
        <f>IF(N(G665)&gt;0,E665/G665,"")</f>
        <v/>
      </c>
      <c r="L665" s="10">
        <f>IF(N(H665)&gt;0,E665/H665,"")</f>
        <v/>
      </c>
      <c r="M665" s="11">
        <f>IF(N(E665)&gt;0,I665/E665,"")</f>
        <v/>
      </c>
      <c r="N665" s="10">
        <f>IF(AND(E665="",I665=""),"",N(I665)*(1-COM-COM_SHOP)-N(E665)*(1+IMP_META))</f>
        <v/>
      </c>
      <c r="O665" s="37" t="n"/>
    </row>
    <row r="666">
      <c r="A666" s="36" t="n"/>
      <c r="B666" s="37" t="n"/>
      <c r="C666" s="37" t="n"/>
      <c r="D666" s="38">
        <f>IF(C666="","",IFERROR(INDEX(Anuncios!$B$6:$B$65,MATCH(C666,Anuncios!$A$6:$A$65,0)),"(no está en Anuncios)"))</f>
        <v/>
      </c>
      <c r="E666" s="39" t="n"/>
      <c r="F666" s="40" t="n"/>
      <c r="G666" s="40" t="n"/>
      <c r="H666" s="40" t="n"/>
      <c r="I666" s="39" t="n"/>
      <c r="J666" s="13">
        <f>IF(N(F666)&gt;0,G666/F666,"")</f>
        <v/>
      </c>
      <c r="K666" s="10">
        <f>IF(N(G666)&gt;0,E666/G666,"")</f>
        <v/>
      </c>
      <c r="L666" s="10">
        <f>IF(N(H666)&gt;0,E666/H666,"")</f>
        <v/>
      </c>
      <c r="M666" s="11">
        <f>IF(N(E666)&gt;0,I666/E666,"")</f>
        <v/>
      </c>
      <c r="N666" s="10">
        <f>IF(AND(E666="",I666=""),"",N(I666)*(1-COM-COM_SHOP)-N(E666)*(1+IMP_META))</f>
        <v/>
      </c>
      <c r="O666" s="37" t="n"/>
    </row>
    <row r="667">
      <c r="A667" s="36" t="n"/>
      <c r="B667" s="37" t="n"/>
      <c r="C667" s="37" t="n"/>
      <c r="D667" s="38">
        <f>IF(C667="","",IFERROR(INDEX(Anuncios!$B$6:$B$65,MATCH(C667,Anuncios!$A$6:$A$65,0)),"(no está en Anuncios)"))</f>
        <v/>
      </c>
      <c r="E667" s="39" t="n"/>
      <c r="F667" s="40" t="n"/>
      <c r="G667" s="40" t="n"/>
      <c r="H667" s="40" t="n"/>
      <c r="I667" s="39" t="n"/>
      <c r="J667" s="13">
        <f>IF(N(F667)&gt;0,G667/F667,"")</f>
        <v/>
      </c>
      <c r="K667" s="10">
        <f>IF(N(G667)&gt;0,E667/G667,"")</f>
        <v/>
      </c>
      <c r="L667" s="10">
        <f>IF(N(H667)&gt;0,E667/H667,"")</f>
        <v/>
      </c>
      <c r="M667" s="11">
        <f>IF(N(E667)&gt;0,I667/E667,"")</f>
        <v/>
      </c>
      <c r="N667" s="10">
        <f>IF(AND(E667="",I667=""),"",N(I667)*(1-COM-COM_SHOP)-N(E667)*(1+IMP_META))</f>
        <v/>
      </c>
      <c r="O667" s="37" t="n"/>
    </row>
    <row r="668">
      <c r="A668" s="36" t="n"/>
      <c r="B668" s="37" t="n"/>
      <c r="C668" s="37" t="n"/>
      <c r="D668" s="38">
        <f>IF(C668="","",IFERROR(INDEX(Anuncios!$B$6:$B$65,MATCH(C668,Anuncios!$A$6:$A$65,0)),"(no está en Anuncios)"))</f>
        <v/>
      </c>
      <c r="E668" s="39" t="n"/>
      <c r="F668" s="40" t="n"/>
      <c r="G668" s="40" t="n"/>
      <c r="H668" s="40" t="n"/>
      <c r="I668" s="39" t="n"/>
      <c r="J668" s="13">
        <f>IF(N(F668)&gt;0,G668/F668,"")</f>
        <v/>
      </c>
      <c r="K668" s="10">
        <f>IF(N(G668)&gt;0,E668/G668,"")</f>
        <v/>
      </c>
      <c r="L668" s="10">
        <f>IF(N(H668)&gt;0,E668/H668,"")</f>
        <v/>
      </c>
      <c r="M668" s="11">
        <f>IF(N(E668)&gt;0,I668/E668,"")</f>
        <v/>
      </c>
      <c r="N668" s="10">
        <f>IF(AND(E668="",I668=""),"",N(I668)*(1-COM-COM_SHOP)-N(E668)*(1+IMP_META))</f>
        <v/>
      </c>
      <c r="O668" s="37" t="n"/>
    </row>
    <row r="669">
      <c r="A669" s="36" t="n"/>
      <c r="B669" s="37" t="n"/>
      <c r="C669" s="37" t="n"/>
      <c r="D669" s="38">
        <f>IF(C669="","",IFERROR(INDEX(Anuncios!$B$6:$B$65,MATCH(C669,Anuncios!$A$6:$A$65,0)),"(no está en Anuncios)"))</f>
        <v/>
      </c>
      <c r="E669" s="39" t="n"/>
      <c r="F669" s="40" t="n"/>
      <c r="G669" s="40" t="n"/>
      <c r="H669" s="40" t="n"/>
      <c r="I669" s="39" t="n"/>
      <c r="J669" s="13">
        <f>IF(N(F669)&gt;0,G669/F669,"")</f>
        <v/>
      </c>
      <c r="K669" s="10">
        <f>IF(N(G669)&gt;0,E669/G669,"")</f>
        <v/>
      </c>
      <c r="L669" s="10">
        <f>IF(N(H669)&gt;0,E669/H669,"")</f>
        <v/>
      </c>
      <c r="M669" s="11">
        <f>IF(N(E669)&gt;0,I669/E669,"")</f>
        <v/>
      </c>
      <c r="N669" s="10">
        <f>IF(AND(E669="",I669=""),"",N(I669)*(1-COM-COM_SHOP)-N(E669)*(1+IMP_META))</f>
        <v/>
      </c>
      <c r="O669" s="37" t="n"/>
    </row>
    <row r="670">
      <c r="A670" s="36" t="n"/>
      <c r="B670" s="37" t="n"/>
      <c r="C670" s="37" t="n"/>
      <c r="D670" s="38">
        <f>IF(C670="","",IFERROR(INDEX(Anuncios!$B$6:$B$65,MATCH(C670,Anuncios!$A$6:$A$65,0)),"(no está en Anuncios)"))</f>
        <v/>
      </c>
      <c r="E670" s="39" t="n"/>
      <c r="F670" s="40" t="n"/>
      <c r="G670" s="40" t="n"/>
      <c r="H670" s="40" t="n"/>
      <c r="I670" s="39" t="n"/>
      <c r="J670" s="13">
        <f>IF(N(F670)&gt;0,G670/F670,"")</f>
        <v/>
      </c>
      <c r="K670" s="10">
        <f>IF(N(G670)&gt;0,E670/G670,"")</f>
        <v/>
      </c>
      <c r="L670" s="10">
        <f>IF(N(H670)&gt;0,E670/H670,"")</f>
        <v/>
      </c>
      <c r="M670" s="11">
        <f>IF(N(E670)&gt;0,I670/E670,"")</f>
        <v/>
      </c>
      <c r="N670" s="10">
        <f>IF(AND(E670="",I670=""),"",N(I670)*(1-COM-COM_SHOP)-N(E670)*(1+IMP_META))</f>
        <v/>
      </c>
      <c r="O670" s="37" t="n"/>
    </row>
    <row r="671">
      <c r="A671" s="36" t="n"/>
      <c r="B671" s="37" t="n"/>
      <c r="C671" s="37" t="n"/>
      <c r="D671" s="38">
        <f>IF(C671="","",IFERROR(INDEX(Anuncios!$B$6:$B$65,MATCH(C671,Anuncios!$A$6:$A$65,0)),"(no está en Anuncios)"))</f>
        <v/>
      </c>
      <c r="E671" s="39" t="n"/>
      <c r="F671" s="40" t="n"/>
      <c r="G671" s="40" t="n"/>
      <c r="H671" s="40" t="n"/>
      <c r="I671" s="39" t="n"/>
      <c r="J671" s="13">
        <f>IF(N(F671)&gt;0,G671/F671,"")</f>
        <v/>
      </c>
      <c r="K671" s="10">
        <f>IF(N(G671)&gt;0,E671/G671,"")</f>
        <v/>
      </c>
      <c r="L671" s="10">
        <f>IF(N(H671)&gt;0,E671/H671,"")</f>
        <v/>
      </c>
      <c r="M671" s="11">
        <f>IF(N(E671)&gt;0,I671/E671,"")</f>
        <v/>
      </c>
      <c r="N671" s="10">
        <f>IF(AND(E671="",I671=""),"",N(I671)*(1-COM-COM_SHOP)-N(E671)*(1+IMP_META))</f>
        <v/>
      </c>
      <c r="O671" s="37" t="n"/>
    </row>
    <row r="672">
      <c r="A672" s="36" t="n"/>
      <c r="B672" s="37" t="n"/>
      <c r="C672" s="37" t="n"/>
      <c r="D672" s="38">
        <f>IF(C672="","",IFERROR(INDEX(Anuncios!$B$6:$B$65,MATCH(C672,Anuncios!$A$6:$A$65,0)),"(no está en Anuncios)"))</f>
        <v/>
      </c>
      <c r="E672" s="39" t="n"/>
      <c r="F672" s="40" t="n"/>
      <c r="G672" s="40" t="n"/>
      <c r="H672" s="40" t="n"/>
      <c r="I672" s="39" t="n"/>
      <c r="J672" s="13">
        <f>IF(N(F672)&gt;0,G672/F672,"")</f>
        <v/>
      </c>
      <c r="K672" s="10">
        <f>IF(N(G672)&gt;0,E672/G672,"")</f>
        <v/>
      </c>
      <c r="L672" s="10">
        <f>IF(N(H672)&gt;0,E672/H672,"")</f>
        <v/>
      </c>
      <c r="M672" s="11">
        <f>IF(N(E672)&gt;0,I672/E672,"")</f>
        <v/>
      </c>
      <c r="N672" s="10">
        <f>IF(AND(E672="",I672=""),"",N(I672)*(1-COM-COM_SHOP)-N(E672)*(1+IMP_META))</f>
        <v/>
      </c>
      <c r="O672" s="37" t="n"/>
    </row>
    <row r="673">
      <c r="A673" s="36" t="n"/>
      <c r="B673" s="37" t="n"/>
      <c r="C673" s="37" t="n"/>
      <c r="D673" s="38">
        <f>IF(C673="","",IFERROR(INDEX(Anuncios!$B$6:$B$65,MATCH(C673,Anuncios!$A$6:$A$65,0)),"(no está en Anuncios)"))</f>
        <v/>
      </c>
      <c r="E673" s="39" t="n"/>
      <c r="F673" s="40" t="n"/>
      <c r="G673" s="40" t="n"/>
      <c r="H673" s="40" t="n"/>
      <c r="I673" s="39" t="n"/>
      <c r="J673" s="13">
        <f>IF(N(F673)&gt;0,G673/F673,"")</f>
        <v/>
      </c>
      <c r="K673" s="10">
        <f>IF(N(G673)&gt;0,E673/G673,"")</f>
        <v/>
      </c>
      <c r="L673" s="10">
        <f>IF(N(H673)&gt;0,E673/H673,"")</f>
        <v/>
      </c>
      <c r="M673" s="11">
        <f>IF(N(E673)&gt;0,I673/E673,"")</f>
        <v/>
      </c>
      <c r="N673" s="10">
        <f>IF(AND(E673="",I673=""),"",N(I673)*(1-COM-COM_SHOP)-N(E673)*(1+IMP_META))</f>
        <v/>
      </c>
      <c r="O673" s="37" t="n"/>
    </row>
    <row r="674">
      <c r="A674" s="36" t="n"/>
      <c r="B674" s="37" t="n"/>
      <c r="C674" s="37" t="n"/>
      <c r="D674" s="38">
        <f>IF(C674="","",IFERROR(INDEX(Anuncios!$B$6:$B$65,MATCH(C674,Anuncios!$A$6:$A$65,0)),"(no está en Anuncios)"))</f>
        <v/>
      </c>
      <c r="E674" s="39" t="n"/>
      <c r="F674" s="40" t="n"/>
      <c r="G674" s="40" t="n"/>
      <c r="H674" s="40" t="n"/>
      <c r="I674" s="39" t="n"/>
      <c r="J674" s="13">
        <f>IF(N(F674)&gt;0,G674/F674,"")</f>
        <v/>
      </c>
      <c r="K674" s="10">
        <f>IF(N(G674)&gt;0,E674/G674,"")</f>
        <v/>
      </c>
      <c r="L674" s="10">
        <f>IF(N(H674)&gt;0,E674/H674,"")</f>
        <v/>
      </c>
      <c r="M674" s="11">
        <f>IF(N(E674)&gt;0,I674/E674,"")</f>
        <v/>
      </c>
      <c r="N674" s="10">
        <f>IF(AND(E674="",I674=""),"",N(I674)*(1-COM-COM_SHOP)-N(E674)*(1+IMP_META))</f>
        <v/>
      </c>
      <c r="O674" s="37" t="n"/>
    </row>
    <row r="675">
      <c r="A675" s="36" t="n"/>
      <c r="B675" s="37" t="n"/>
      <c r="C675" s="37" t="n"/>
      <c r="D675" s="38">
        <f>IF(C675="","",IFERROR(INDEX(Anuncios!$B$6:$B$65,MATCH(C675,Anuncios!$A$6:$A$65,0)),"(no está en Anuncios)"))</f>
        <v/>
      </c>
      <c r="E675" s="39" t="n"/>
      <c r="F675" s="40" t="n"/>
      <c r="G675" s="40" t="n"/>
      <c r="H675" s="40" t="n"/>
      <c r="I675" s="39" t="n"/>
      <c r="J675" s="13">
        <f>IF(N(F675)&gt;0,G675/F675,"")</f>
        <v/>
      </c>
      <c r="K675" s="10">
        <f>IF(N(G675)&gt;0,E675/G675,"")</f>
        <v/>
      </c>
      <c r="L675" s="10">
        <f>IF(N(H675)&gt;0,E675/H675,"")</f>
        <v/>
      </c>
      <c r="M675" s="11">
        <f>IF(N(E675)&gt;0,I675/E675,"")</f>
        <v/>
      </c>
      <c r="N675" s="10">
        <f>IF(AND(E675="",I675=""),"",N(I675)*(1-COM-COM_SHOP)-N(E675)*(1+IMP_META))</f>
        <v/>
      </c>
      <c r="O675" s="37" t="n"/>
    </row>
    <row r="676">
      <c r="A676" s="36" t="n"/>
      <c r="B676" s="37" t="n"/>
      <c r="C676" s="37" t="n"/>
      <c r="D676" s="38">
        <f>IF(C676="","",IFERROR(INDEX(Anuncios!$B$6:$B$65,MATCH(C676,Anuncios!$A$6:$A$65,0)),"(no está en Anuncios)"))</f>
        <v/>
      </c>
      <c r="E676" s="39" t="n"/>
      <c r="F676" s="40" t="n"/>
      <c r="G676" s="40" t="n"/>
      <c r="H676" s="40" t="n"/>
      <c r="I676" s="39" t="n"/>
      <c r="J676" s="13">
        <f>IF(N(F676)&gt;0,G676/F676,"")</f>
        <v/>
      </c>
      <c r="K676" s="10">
        <f>IF(N(G676)&gt;0,E676/G676,"")</f>
        <v/>
      </c>
      <c r="L676" s="10">
        <f>IF(N(H676)&gt;0,E676/H676,"")</f>
        <v/>
      </c>
      <c r="M676" s="11">
        <f>IF(N(E676)&gt;0,I676/E676,"")</f>
        <v/>
      </c>
      <c r="N676" s="10">
        <f>IF(AND(E676="",I676=""),"",N(I676)*(1-COM-COM_SHOP)-N(E676)*(1+IMP_META))</f>
        <v/>
      </c>
      <c r="O676" s="37" t="n"/>
    </row>
    <row r="677">
      <c r="A677" s="36" t="n"/>
      <c r="B677" s="37" t="n"/>
      <c r="C677" s="37" t="n"/>
      <c r="D677" s="38">
        <f>IF(C677="","",IFERROR(INDEX(Anuncios!$B$6:$B$65,MATCH(C677,Anuncios!$A$6:$A$65,0)),"(no está en Anuncios)"))</f>
        <v/>
      </c>
      <c r="E677" s="39" t="n"/>
      <c r="F677" s="40" t="n"/>
      <c r="G677" s="40" t="n"/>
      <c r="H677" s="40" t="n"/>
      <c r="I677" s="39" t="n"/>
      <c r="J677" s="13">
        <f>IF(N(F677)&gt;0,G677/F677,"")</f>
        <v/>
      </c>
      <c r="K677" s="10">
        <f>IF(N(G677)&gt;0,E677/G677,"")</f>
        <v/>
      </c>
      <c r="L677" s="10">
        <f>IF(N(H677)&gt;0,E677/H677,"")</f>
        <v/>
      </c>
      <c r="M677" s="11">
        <f>IF(N(E677)&gt;0,I677/E677,"")</f>
        <v/>
      </c>
      <c r="N677" s="10">
        <f>IF(AND(E677="",I677=""),"",N(I677)*(1-COM-COM_SHOP)-N(E677)*(1+IMP_META))</f>
        <v/>
      </c>
      <c r="O677" s="37" t="n"/>
    </row>
    <row r="678">
      <c r="A678" s="36" t="n"/>
      <c r="B678" s="37" t="n"/>
      <c r="C678" s="37" t="n"/>
      <c r="D678" s="38">
        <f>IF(C678="","",IFERROR(INDEX(Anuncios!$B$6:$B$65,MATCH(C678,Anuncios!$A$6:$A$65,0)),"(no está en Anuncios)"))</f>
        <v/>
      </c>
      <c r="E678" s="39" t="n"/>
      <c r="F678" s="40" t="n"/>
      <c r="G678" s="40" t="n"/>
      <c r="H678" s="40" t="n"/>
      <c r="I678" s="39" t="n"/>
      <c r="J678" s="13">
        <f>IF(N(F678)&gt;0,G678/F678,"")</f>
        <v/>
      </c>
      <c r="K678" s="10">
        <f>IF(N(G678)&gt;0,E678/G678,"")</f>
        <v/>
      </c>
      <c r="L678" s="10">
        <f>IF(N(H678)&gt;0,E678/H678,"")</f>
        <v/>
      </c>
      <c r="M678" s="11">
        <f>IF(N(E678)&gt;0,I678/E678,"")</f>
        <v/>
      </c>
      <c r="N678" s="10">
        <f>IF(AND(E678="",I678=""),"",N(I678)*(1-COM-COM_SHOP)-N(E678)*(1+IMP_META))</f>
        <v/>
      </c>
      <c r="O678" s="37" t="n"/>
    </row>
    <row r="679">
      <c r="A679" s="36" t="n"/>
      <c r="B679" s="37" t="n"/>
      <c r="C679" s="37" t="n"/>
      <c r="D679" s="38">
        <f>IF(C679="","",IFERROR(INDEX(Anuncios!$B$6:$B$65,MATCH(C679,Anuncios!$A$6:$A$65,0)),"(no está en Anuncios)"))</f>
        <v/>
      </c>
      <c r="E679" s="39" t="n"/>
      <c r="F679" s="40" t="n"/>
      <c r="G679" s="40" t="n"/>
      <c r="H679" s="40" t="n"/>
      <c r="I679" s="39" t="n"/>
      <c r="J679" s="13">
        <f>IF(N(F679)&gt;0,G679/F679,"")</f>
        <v/>
      </c>
      <c r="K679" s="10">
        <f>IF(N(G679)&gt;0,E679/G679,"")</f>
        <v/>
      </c>
      <c r="L679" s="10">
        <f>IF(N(H679)&gt;0,E679/H679,"")</f>
        <v/>
      </c>
      <c r="M679" s="11">
        <f>IF(N(E679)&gt;0,I679/E679,"")</f>
        <v/>
      </c>
      <c r="N679" s="10">
        <f>IF(AND(E679="",I679=""),"",N(I679)*(1-COM-COM_SHOP)-N(E679)*(1+IMP_META))</f>
        <v/>
      </c>
      <c r="O679" s="37" t="n"/>
    </row>
    <row r="680">
      <c r="A680" s="36" t="n"/>
      <c r="B680" s="37" t="n"/>
      <c r="C680" s="37" t="n"/>
      <c r="D680" s="38">
        <f>IF(C680="","",IFERROR(INDEX(Anuncios!$B$6:$B$65,MATCH(C680,Anuncios!$A$6:$A$65,0)),"(no está en Anuncios)"))</f>
        <v/>
      </c>
      <c r="E680" s="39" t="n"/>
      <c r="F680" s="40" t="n"/>
      <c r="G680" s="40" t="n"/>
      <c r="H680" s="40" t="n"/>
      <c r="I680" s="39" t="n"/>
      <c r="J680" s="13">
        <f>IF(N(F680)&gt;0,G680/F680,"")</f>
        <v/>
      </c>
      <c r="K680" s="10">
        <f>IF(N(G680)&gt;0,E680/G680,"")</f>
        <v/>
      </c>
      <c r="L680" s="10">
        <f>IF(N(H680)&gt;0,E680/H680,"")</f>
        <v/>
      </c>
      <c r="M680" s="11">
        <f>IF(N(E680)&gt;0,I680/E680,"")</f>
        <v/>
      </c>
      <c r="N680" s="10">
        <f>IF(AND(E680="",I680=""),"",N(I680)*(1-COM-COM_SHOP)-N(E680)*(1+IMP_META))</f>
        <v/>
      </c>
      <c r="O680" s="37" t="n"/>
    </row>
    <row r="681">
      <c r="A681" s="36" t="n"/>
      <c r="B681" s="37" t="n"/>
      <c r="C681" s="37" t="n"/>
      <c r="D681" s="38">
        <f>IF(C681="","",IFERROR(INDEX(Anuncios!$B$6:$B$65,MATCH(C681,Anuncios!$A$6:$A$65,0)),"(no está en Anuncios)"))</f>
        <v/>
      </c>
      <c r="E681" s="39" t="n"/>
      <c r="F681" s="40" t="n"/>
      <c r="G681" s="40" t="n"/>
      <c r="H681" s="40" t="n"/>
      <c r="I681" s="39" t="n"/>
      <c r="J681" s="13">
        <f>IF(N(F681)&gt;0,G681/F681,"")</f>
        <v/>
      </c>
      <c r="K681" s="10">
        <f>IF(N(G681)&gt;0,E681/G681,"")</f>
        <v/>
      </c>
      <c r="L681" s="10">
        <f>IF(N(H681)&gt;0,E681/H681,"")</f>
        <v/>
      </c>
      <c r="M681" s="11">
        <f>IF(N(E681)&gt;0,I681/E681,"")</f>
        <v/>
      </c>
      <c r="N681" s="10">
        <f>IF(AND(E681="",I681=""),"",N(I681)*(1-COM-COM_SHOP)-N(E681)*(1+IMP_META))</f>
        <v/>
      </c>
      <c r="O681" s="37" t="n"/>
    </row>
    <row r="682">
      <c r="A682" s="36" t="n"/>
      <c r="B682" s="37" t="n"/>
      <c r="C682" s="37" t="n"/>
      <c r="D682" s="38">
        <f>IF(C682="","",IFERROR(INDEX(Anuncios!$B$6:$B$65,MATCH(C682,Anuncios!$A$6:$A$65,0)),"(no está en Anuncios)"))</f>
        <v/>
      </c>
      <c r="E682" s="39" t="n"/>
      <c r="F682" s="40" t="n"/>
      <c r="G682" s="40" t="n"/>
      <c r="H682" s="40" t="n"/>
      <c r="I682" s="39" t="n"/>
      <c r="J682" s="13">
        <f>IF(N(F682)&gt;0,G682/F682,"")</f>
        <v/>
      </c>
      <c r="K682" s="10">
        <f>IF(N(G682)&gt;0,E682/G682,"")</f>
        <v/>
      </c>
      <c r="L682" s="10">
        <f>IF(N(H682)&gt;0,E682/H682,"")</f>
        <v/>
      </c>
      <c r="M682" s="11">
        <f>IF(N(E682)&gt;0,I682/E682,"")</f>
        <v/>
      </c>
      <c r="N682" s="10">
        <f>IF(AND(E682="",I682=""),"",N(I682)*(1-COM-COM_SHOP)-N(E682)*(1+IMP_META))</f>
        <v/>
      </c>
      <c r="O682" s="37" t="n"/>
    </row>
    <row r="683">
      <c r="A683" s="36" t="n"/>
      <c r="B683" s="37" t="n"/>
      <c r="C683" s="37" t="n"/>
      <c r="D683" s="38">
        <f>IF(C683="","",IFERROR(INDEX(Anuncios!$B$6:$B$65,MATCH(C683,Anuncios!$A$6:$A$65,0)),"(no está en Anuncios)"))</f>
        <v/>
      </c>
      <c r="E683" s="39" t="n"/>
      <c r="F683" s="40" t="n"/>
      <c r="G683" s="40" t="n"/>
      <c r="H683" s="40" t="n"/>
      <c r="I683" s="39" t="n"/>
      <c r="J683" s="13">
        <f>IF(N(F683)&gt;0,G683/F683,"")</f>
        <v/>
      </c>
      <c r="K683" s="10">
        <f>IF(N(G683)&gt;0,E683/G683,"")</f>
        <v/>
      </c>
      <c r="L683" s="10">
        <f>IF(N(H683)&gt;0,E683/H683,"")</f>
        <v/>
      </c>
      <c r="M683" s="11">
        <f>IF(N(E683)&gt;0,I683/E683,"")</f>
        <v/>
      </c>
      <c r="N683" s="10">
        <f>IF(AND(E683="",I683=""),"",N(I683)*(1-COM-COM_SHOP)-N(E683)*(1+IMP_META))</f>
        <v/>
      </c>
      <c r="O683" s="37" t="n"/>
    </row>
    <row r="684">
      <c r="A684" s="36" t="n"/>
      <c r="B684" s="37" t="n"/>
      <c r="C684" s="37" t="n"/>
      <c r="D684" s="38">
        <f>IF(C684="","",IFERROR(INDEX(Anuncios!$B$6:$B$65,MATCH(C684,Anuncios!$A$6:$A$65,0)),"(no está en Anuncios)"))</f>
        <v/>
      </c>
      <c r="E684" s="39" t="n"/>
      <c r="F684" s="40" t="n"/>
      <c r="G684" s="40" t="n"/>
      <c r="H684" s="40" t="n"/>
      <c r="I684" s="39" t="n"/>
      <c r="J684" s="13">
        <f>IF(N(F684)&gt;0,G684/F684,"")</f>
        <v/>
      </c>
      <c r="K684" s="10">
        <f>IF(N(G684)&gt;0,E684/G684,"")</f>
        <v/>
      </c>
      <c r="L684" s="10">
        <f>IF(N(H684)&gt;0,E684/H684,"")</f>
        <v/>
      </c>
      <c r="M684" s="11">
        <f>IF(N(E684)&gt;0,I684/E684,"")</f>
        <v/>
      </c>
      <c r="N684" s="10">
        <f>IF(AND(E684="",I684=""),"",N(I684)*(1-COM-COM_SHOP)-N(E684)*(1+IMP_META))</f>
        <v/>
      </c>
      <c r="O684" s="37" t="n"/>
    </row>
    <row r="685">
      <c r="A685" s="36" t="n"/>
      <c r="B685" s="37" t="n"/>
      <c r="C685" s="37" t="n"/>
      <c r="D685" s="38">
        <f>IF(C685="","",IFERROR(INDEX(Anuncios!$B$6:$B$65,MATCH(C685,Anuncios!$A$6:$A$65,0)),"(no está en Anuncios)"))</f>
        <v/>
      </c>
      <c r="E685" s="39" t="n"/>
      <c r="F685" s="40" t="n"/>
      <c r="G685" s="40" t="n"/>
      <c r="H685" s="40" t="n"/>
      <c r="I685" s="39" t="n"/>
      <c r="J685" s="13">
        <f>IF(N(F685)&gt;0,G685/F685,"")</f>
        <v/>
      </c>
      <c r="K685" s="10">
        <f>IF(N(G685)&gt;0,E685/G685,"")</f>
        <v/>
      </c>
      <c r="L685" s="10">
        <f>IF(N(H685)&gt;0,E685/H685,"")</f>
        <v/>
      </c>
      <c r="M685" s="11">
        <f>IF(N(E685)&gt;0,I685/E685,"")</f>
        <v/>
      </c>
      <c r="N685" s="10">
        <f>IF(AND(E685="",I685=""),"",N(I685)*(1-COM-COM_SHOP)-N(E685)*(1+IMP_META))</f>
        <v/>
      </c>
      <c r="O685" s="37" t="n"/>
    </row>
    <row r="686">
      <c r="A686" s="36" t="n"/>
      <c r="B686" s="37" t="n"/>
      <c r="C686" s="37" t="n"/>
      <c r="D686" s="38">
        <f>IF(C686="","",IFERROR(INDEX(Anuncios!$B$6:$B$65,MATCH(C686,Anuncios!$A$6:$A$65,0)),"(no está en Anuncios)"))</f>
        <v/>
      </c>
      <c r="E686" s="39" t="n"/>
      <c r="F686" s="40" t="n"/>
      <c r="G686" s="40" t="n"/>
      <c r="H686" s="40" t="n"/>
      <c r="I686" s="39" t="n"/>
      <c r="J686" s="13">
        <f>IF(N(F686)&gt;0,G686/F686,"")</f>
        <v/>
      </c>
      <c r="K686" s="10">
        <f>IF(N(G686)&gt;0,E686/G686,"")</f>
        <v/>
      </c>
      <c r="L686" s="10">
        <f>IF(N(H686)&gt;0,E686/H686,"")</f>
        <v/>
      </c>
      <c r="M686" s="11">
        <f>IF(N(E686)&gt;0,I686/E686,"")</f>
        <v/>
      </c>
      <c r="N686" s="10">
        <f>IF(AND(E686="",I686=""),"",N(I686)*(1-COM-COM_SHOP)-N(E686)*(1+IMP_META))</f>
        <v/>
      </c>
      <c r="O686" s="37" t="n"/>
    </row>
    <row r="687">
      <c r="A687" s="36" t="n"/>
      <c r="B687" s="37" t="n"/>
      <c r="C687" s="37" t="n"/>
      <c r="D687" s="38">
        <f>IF(C687="","",IFERROR(INDEX(Anuncios!$B$6:$B$65,MATCH(C687,Anuncios!$A$6:$A$65,0)),"(no está en Anuncios)"))</f>
        <v/>
      </c>
      <c r="E687" s="39" t="n"/>
      <c r="F687" s="40" t="n"/>
      <c r="G687" s="40" t="n"/>
      <c r="H687" s="40" t="n"/>
      <c r="I687" s="39" t="n"/>
      <c r="J687" s="13">
        <f>IF(N(F687)&gt;0,G687/F687,"")</f>
        <v/>
      </c>
      <c r="K687" s="10">
        <f>IF(N(G687)&gt;0,E687/G687,"")</f>
        <v/>
      </c>
      <c r="L687" s="10">
        <f>IF(N(H687)&gt;0,E687/H687,"")</f>
        <v/>
      </c>
      <c r="M687" s="11">
        <f>IF(N(E687)&gt;0,I687/E687,"")</f>
        <v/>
      </c>
      <c r="N687" s="10">
        <f>IF(AND(E687="",I687=""),"",N(I687)*(1-COM-COM_SHOP)-N(E687)*(1+IMP_META))</f>
        <v/>
      </c>
      <c r="O687" s="37" t="n"/>
    </row>
    <row r="688">
      <c r="A688" s="36" t="n"/>
      <c r="B688" s="37" t="n"/>
      <c r="C688" s="37" t="n"/>
      <c r="D688" s="38">
        <f>IF(C688="","",IFERROR(INDEX(Anuncios!$B$6:$B$65,MATCH(C688,Anuncios!$A$6:$A$65,0)),"(no está en Anuncios)"))</f>
        <v/>
      </c>
      <c r="E688" s="39" t="n"/>
      <c r="F688" s="40" t="n"/>
      <c r="G688" s="40" t="n"/>
      <c r="H688" s="40" t="n"/>
      <c r="I688" s="39" t="n"/>
      <c r="J688" s="13">
        <f>IF(N(F688)&gt;0,G688/F688,"")</f>
        <v/>
      </c>
      <c r="K688" s="10">
        <f>IF(N(G688)&gt;0,E688/G688,"")</f>
        <v/>
      </c>
      <c r="L688" s="10">
        <f>IF(N(H688)&gt;0,E688/H688,"")</f>
        <v/>
      </c>
      <c r="M688" s="11">
        <f>IF(N(E688)&gt;0,I688/E688,"")</f>
        <v/>
      </c>
      <c r="N688" s="10">
        <f>IF(AND(E688="",I688=""),"",N(I688)*(1-COM-COM_SHOP)-N(E688)*(1+IMP_META))</f>
        <v/>
      </c>
      <c r="O688" s="37" t="n"/>
    </row>
    <row r="689">
      <c r="A689" s="36" t="n"/>
      <c r="B689" s="37" t="n"/>
      <c r="C689" s="37" t="n"/>
      <c r="D689" s="38">
        <f>IF(C689="","",IFERROR(INDEX(Anuncios!$B$6:$B$65,MATCH(C689,Anuncios!$A$6:$A$65,0)),"(no está en Anuncios)"))</f>
        <v/>
      </c>
      <c r="E689" s="39" t="n"/>
      <c r="F689" s="40" t="n"/>
      <c r="G689" s="40" t="n"/>
      <c r="H689" s="40" t="n"/>
      <c r="I689" s="39" t="n"/>
      <c r="J689" s="13">
        <f>IF(N(F689)&gt;0,G689/F689,"")</f>
        <v/>
      </c>
      <c r="K689" s="10">
        <f>IF(N(G689)&gt;0,E689/G689,"")</f>
        <v/>
      </c>
      <c r="L689" s="10">
        <f>IF(N(H689)&gt;0,E689/H689,"")</f>
        <v/>
      </c>
      <c r="M689" s="11">
        <f>IF(N(E689)&gt;0,I689/E689,"")</f>
        <v/>
      </c>
      <c r="N689" s="10">
        <f>IF(AND(E689="",I689=""),"",N(I689)*(1-COM-COM_SHOP)-N(E689)*(1+IMP_META))</f>
        <v/>
      </c>
      <c r="O689" s="37" t="n"/>
    </row>
    <row r="690">
      <c r="A690" s="36" t="n"/>
      <c r="B690" s="37" t="n"/>
      <c r="C690" s="37" t="n"/>
      <c r="D690" s="38">
        <f>IF(C690="","",IFERROR(INDEX(Anuncios!$B$6:$B$65,MATCH(C690,Anuncios!$A$6:$A$65,0)),"(no está en Anuncios)"))</f>
        <v/>
      </c>
      <c r="E690" s="39" t="n"/>
      <c r="F690" s="40" t="n"/>
      <c r="G690" s="40" t="n"/>
      <c r="H690" s="40" t="n"/>
      <c r="I690" s="39" t="n"/>
      <c r="J690" s="13">
        <f>IF(N(F690)&gt;0,G690/F690,"")</f>
        <v/>
      </c>
      <c r="K690" s="10">
        <f>IF(N(G690)&gt;0,E690/G690,"")</f>
        <v/>
      </c>
      <c r="L690" s="10">
        <f>IF(N(H690)&gt;0,E690/H690,"")</f>
        <v/>
      </c>
      <c r="M690" s="11">
        <f>IF(N(E690)&gt;0,I690/E690,"")</f>
        <v/>
      </c>
      <c r="N690" s="10">
        <f>IF(AND(E690="",I690=""),"",N(I690)*(1-COM-COM_SHOP)-N(E690)*(1+IMP_META))</f>
        <v/>
      </c>
      <c r="O690" s="37" t="n"/>
    </row>
    <row r="691">
      <c r="A691" s="36" t="n"/>
      <c r="B691" s="37" t="n"/>
      <c r="C691" s="37" t="n"/>
      <c r="D691" s="38">
        <f>IF(C691="","",IFERROR(INDEX(Anuncios!$B$6:$B$65,MATCH(C691,Anuncios!$A$6:$A$65,0)),"(no está en Anuncios)"))</f>
        <v/>
      </c>
      <c r="E691" s="39" t="n"/>
      <c r="F691" s="40" t="n"/>
      <c r="G691" s="40" t="n"/>
      <c r="H691" s="40" t="n"/>
      <c r="I691" s="39" t="n"/>
      <c r="J691" s="13">
        <f>IF(N(F691)&gt;0,G691/F691,"")</f>
        <v/>
      </c>
      <c r="K691" s="10">
        <f>IF(N(G691)&gt;0,E691/G691,"")</f>
        <v/>
      </c>
      <c r="L691" s="10">
        <f>IF(N(H691)&gt;0,E691/H691,"")</f>
        <v/>
      </c>
      <c r="M691" s="11">
        <f>IF(N(E691)&gt;0,I691/E691,"")</f>
        <v/>
      </c>
      <c r="N691" s="10">
        <f>IF(AND(E691="",I691=""),"",N(I691)*(1-COM-COM_SHOP)-N(E691)*(1+IMP_META))</f>
        <v/>
      </c>
      <c r="O691" s="37" t="n"/>
    </row>
    <row r="692">
      <c r="A692" s="36" t="n"/>
      <c r="B692" s="37" t="n"/>
      <c r="C692" s="37" t="n"/>
      <c r="D692" s="38">
        <f>IF(C692="","",IFERROR(INDEX(Anuncios!$B$6:$B$65,MATCH(C692,Anuncios!$A$6:$A$65,0)),"(no está en Anuncios)"))</f>
        <v/>
      </c>
      <c r="E692" s="39" t="n"/>
      <c r="F692" s="40" t="n"/>
      <c r="G692" s="40" t="n"/>
      <c r="H692" s="40" t="n"/>
      <c r="I692" s="39" t="n"/>
      <c r="J692" s="13">
        <f>IF(N(F692)&gt;0,G692/F692,"")</f>
        <v/>
      </c>
      <c r="K692" s="10">
        <f>IF(N(G692)&gt;0,E692/G692,"")</f>
        <v/>
      </c>
      <c r="L692" s="10">
        <f>IF(N(H692)&gt;0,E692/H692,"")</f>
        <v/>
      </c>
      <c r="M692" s="11">
        <f>IF(N(E692)&gt;0,I692/E692,"")</f>
        <v/>
      </c>
      <c r="N692" s="10">
        <f>IF(AND(E692="",I692=""),"",N(I692)*(1-COM-COM_SHOP)-N(E692)*(1+IMP_META))</f>
        <v/>
      </c>
      <c r="O692" s="37" t="n"/>
    </row>
    <row r="693">
      <c r="A693" s="36" t="n"/>
      <c r="B693" s="37" t="n"/>
      <c r="C693" s="37" t="n"/>
      <c r="D693" s="38">
        <f>IF(C693="","",IFERROR(INDEX(Anuncios!$B$6:$B$65,MATCH(C693,Anuncios!$A$6:$A$65,0)),"(no está en Anuncios)"))</f>
        <v/>
      </c>
      <c r="E693" s="39" t="n"/>
      <c r="F693" s="40" t="n"/>
      <c r="G693" s="40" t="n"/>
      <c r="H693" s="40" t="n"/>
      <c r="I693" s="39" t="n"/>
      <c r="J693" s="13">
        <f>IF(N(F693)&gt;0,G693/F693,"")</f>
        <v/>
      </c>
      <c r="K693" s="10">
        <f>IF(N(G693)&gt;0,E693/G693,"")</f>
        <v/>
      </c>
      <c r="L693" s="10">
        <f>IF(N(H693)&gt;0,E693/H693,"")</f>
        <v/>
      </c>
      <c r="M693" s="11">
        <f>IF(N(E693)&gt;0,I693/E693,"")</f>
        <v/>
      </c>
      <c r="N693" s="10">
        <f>IF(AND(E693="",I693=""),"",N(I693)*(1-COM-COM_SHOP)-N(E693)*(1+IMP_META))</f>
        <v/>
      </c>
      <c r="O693" s="37" t="n"/>
    </row>
    <row r="694">
      <c r="A694" s="36" t="n"/>
      <c r="B694" s="37" t="n"/>
      <c r="C694" s="37" t="n"/>
      <c r="D694" s="38">
        <f>IF(C694="","",IFERROR(INDEX(Anuncios!$B$6:$B$65,MATCH(C694,Anuncios!$A$6:$A$65,0)),"(no está en Anuncios)"))</f>
        <v/>
      </c>
      <c r="E694" s="39" t="n"/>
      <c r="F694" s="40" t="n"/>
      <c r="G694" s="40" t="n"/>
      <c r="H694" s="40" t="n"/>
      <c r="I694" s="39" t="n"/>
      <c r="J694" s="13">
        <f>IF(N(F694)&gt;0,G694/F694,"")</f>
        <v/>
      </c>
      <c r="K694" s="10">
        <f>IF(N(G694)&gt;0,E694/G694,"")</f>
        <v/>
      </c>
      <c r="L694" s="10">
        <f>IF(N(H694)&gt;0,E694/H694,"")</f>
        <v/>
      </c>
      <c r="M694" s="11">
        <f>IF(N(E694)&gt;0,I694/E694,"")</f>
        <v/>
      </c>
      <c r="N694" s="10">
        <f>IF(AND(E694="",I694=""),"",N(I694)*(1-COM-COM_SHOP)-N(E694)*(1+IMP_META))</f>
        <v/>
      </c>
      <c r="O694" s="37" t="n"/>
    </row>
    <row r="695">
      <c r="A695" s="36" t="n"/>
      <c r="B695" s="37" t="n"/>
      <c r="C695" s="37" t="n"/>
      <c r="D695" s="38">
        <f>IF(C695="","",IFERROR(INDEX(Anuncios!$B$6:$B$65,MATCH(C695,Anuncios!$A$6:$A$65,0)),"(no está en Anuncios)"))</f>
        <v/>
      </c>
      <c r="E695" s="39" t="n"/>
      <c r="F695" s="40" t="n"/>
      <c r="G695" s="40" t="n"/>
      <c r="H695" s="40" t="n"/>
      <c r="I695" s="39" t="n"/>
      <c r="J695" s="13">
        <f>IF(N(F695)&gt;0,G695/F695,"")</f>
        <v/>
      </c>
      <c r="K695" s="10">
        <f>IF(N(G695)&gt;0,E695/G695,"")</f>
        <v/>
      </c>
      <c r="L695" s="10">
        <f>IF(N(H695)&gt;0,E695/H695,"")</f>
        <v/>
      </c>
      <c r="M695" s="11">
        <f>IF(N(E695)&gt;0,I695/E695,"")</f>
        <v/>
      </c>
      <c r="N695" s="10">
        <f>IF(AND(E695="",I695=""),"",N(I695)*(1-COM-COM_SHOP)-N(E695)*(1+IMP_META))</f>
        <v/>
      </c>
      <c r="O695" s="37" t="n"/>
    </row>
    <row r="696">
      <c r="A696" s="36" t="n"/>
      <c r="B696" s="37" t="n"/>
      <c r="C696" s="37" t="n"/>
      <c r="D696" s="38">
        <f>IF(C696="","",IFERROR(INDEX(Anuncios!$B$6:$B$65,MATCH(C696,Anuncios!$A$6:$A$65,0)),"(no está en Anuncios)"))</f>
        <v/>
      </c>
      <c r="E696" s="39" t="n"/>
      <c r="F696" s="40" t="n"/>
      <c r="G696" s="40" t="n"/>
      <c r="H696" s="40" t="n"/>
      <c r="I696" s="39" t="n"/>
      <c r="J696" s="13">
        <f>IF(N(F696)&gt;0,G696/F696,"")</f>
        <v/>
      </c>
      <c r="K696" s="10">
        <f>IF(N(G696)&gt;0,E696/G696,"")</f>
        <v/>
      </c>
      <c r="L696" s="10">
        <f>IF(N(H696)&gt;0,E696/H696,"")</f>
        <v/>
      </c>
      <c r="M696" s="11">
        <f>IF(N(E696)&gt;0,I696/E696,"")</f>
        <v/>
      </c>
      <c r="N696" s="10">
        <f>IF(AND(E696="",I696=""),"",N(I696)*(1-COM-COM_SHOP)-N(E696)*(1+IMP_META))</f>
        <v/>
      </c>
      <c r="O696" s="37" t="n"/>
    </row>
    <row r="697">
      <c r="A697" s="36" t="n"/>
      <c r="B697" s="37" t="n"/>
      <c r="C697" s="37" t="n"/>
      <c r="D697" s="38">
        <f>IF(C697="","",IFERROR(INDEX(Anuncios!$B$6:$B$65,MATCH(C697,Anuncios!$A$6:$A$65,0)),"(no está en Anuncios)"))</f>
        <v/>
      </c>
      <c r="E697" s="39" t="n"/>
      <c r="F697" s="40" t="n"/>
      <c r="G697" s="40" t="n"/>
      <c r="H697" s="40" t="n"/>
      <c r="I697" s="39" t="n"/>
      <c r="J697" s="13">
        <f>IF(N(F697)&gt;0,G697/F697,"")</f>
        <v/>
      </c>
      <c r="K697" s="10">
        <f>IF(N(G697)&gt;0,E697/G697,"")</f>
        <v/>
      </c>
      <c r="L697" s="10">
        <f>IF(N(H697)&gt;0,E697/H697,"")</f>
        <v/>
      </c>
      <c r="M697" s="11">
        <f>IF(N(E697)&gt;0,I697/E697,"")</f>
        <v/>
      </c>
      <c r="N697" s="10">
        <f>IF(AND(E697="",I697=""),"",N(I697)*(1-COM-COM_SHOP)-N(E697)*(1+IMP_META))</f>
        <v/>
      </c>
      <c r="O697" s="37" t="n"/>
    </row>
    <row r="698">
      <c r="A698" s="36" t="n"/>
      <c r="B698" s="37" t="n"/>
      <c r="C698" s="37" t="n"/>
      <c r="D698" s="38">
        <f>IF(C698="","",IFERROR(INDEX(Anuncios!$B$6:$B$65,MATCH(C698,Anuncios!$A$6:$A$65,0)),"(no está en Anuncios)"))</f>
        <v/>
      </c>
      <c r="E698" s="39" t="n"/>
      <c r="F698" s="40" t="n"/>
      <c r="G698" s="40" t="n"/>
      <c r="H698" s="40" t="n"/>
      <c r="I698" s="39" t="n"/>
      <c r="J698" s="13">
        <f>IF(N(F698)&gt;0,G698/F698,"")</f>
        <v/>
      </c>
      <c r="K698" s="10">
        <f>IF(N(G698)&gt;0,E698/G698,"")</f>
        <v/>
      </c>
      <c r="L698" s="10">
        <f>IF(N(H698)&gt;0,E698/H698,"")</f>
        <v/>
      </c>
      <c r="M698" s="11">
        <f>IF(N(E698)&gt;0,I698/E698,"")</f>
        <v/>
      </c>
      <c r="N698" s="10">
        <f>IF(AND(E698="",I698=""),"",N(I698)*(1-COM-COM_SHOP)-N(E698)*(1+IMP_META))</f>
        <v/>
      </c>
      <c r="O698" s="37" t="n"/>
    </row>
    <row r="699">
      <c r="A699" s="36" t="n"/>
      <c r="B699" s="37" t="n"/>
      <c r="C699" s="37" t="n"/>
      <c r="D699" s="38">
        <f>IF(C699="","",IFERROR(INDEX(Anuncios!$B$6:$B$65,MATCH(C699,Anuncios!$A$6:$A$65,0)),"(no está en Anuncios)"))</f>
        <v/>
      </c>
      <c r="E699" s="39" t="n"/>
      <c r="F699" s="40" t="n"/>
      <c r="G699" s="40" t="n"/>
      <c r="H699" s="40" t="n"/>
      <c r="I699" s="39" t="n"/>
      <c r="J699" s="13">
        <f>IF(N(F699)&gt;0,G699/F699,"")</f>
        <v/>
      </c>
      <c r="K699" s="10">
        <f>IF(N(G699)&gt;0,E699/G699,"")</f>
        <v/>
      </c>
      <c r="L699" s="10">
        <f>IF(N(H699)&gt;0,E699/H699,"")</f>
        <v/>
      </c>
      <c r="M699" s="11">
        <f>IF(N(E699)&gt;0,I699/E699,"")</f>
        <v/>
      </c>
      <c r="N699" s="10">
        <f>IF(AND(E699="",I699=""),"",N(I699)*(1-COM-COM_SHOP)-N(E699)*(1+IMP_META))</f>
        <v/>
      </c>
      <c r="O699" s="37" t="n"/>
    </row>
    <row r="700">
      <c r="A700" s="36" t="n"/>
      <c r="B700" s="37" t="n"/>
      <c r="C700" s="37" t="n"/>
      <c r="D700" s="38">
        <f>IF(C700="","",IFERROR(INDEX(Anuncios!$B$6:$B$65,MATCH(C700,Anuncios!$A$6:$A$65,0)),"(no está en Anuncios)"))</f>
        <v/>
      </c>
      <c r="E700" s="39" t="n"/>
      <c r="F700" s="40" t="n"/>
      <c r="G700" s="40" t="n"/>
      <c r="H700" s="40" t="n"/>
      <c r="I700" s="39" t="n"/>
      <c r="J700" s="13">
        <f>IF(N(F700)&gt;0,G700/F700,"")</f>
        <v/>
      </c>
      <c r="K700" s="10">
        <f>IF(N(G700)&gt;0,E700/G700,"")</f>
        <v/>
      </c>
      <c r="L700" s="10">
        <f>IF(N(H700)&gt;0,E700/H700,"")</f>
        <v/>
      </c>
      <c r="M700" s="11">
        <f>IF(N(E700)&gt;0,I700/E700,"")</f>
        <v/>
      </c>
      <c r="N700" s="10">
        <f>IF(AND(E700="",I700=""),"",N(I700)*(1-COM-COM_SHOP)-N(E700)*(1+IMP_META))</f>
        <v/>
      </c>
      <c r="O700" s="37" t="n"/>
    </row>
    <row r="701">
      <c r="A701" s="36" t="n"/>
      <c r="B701" s="37" t="n"/>
      <c r="C701" s="37" t="n"/>
      <c r="D701" s="38">
        <f>IF(C701="","",IFERROR(INDEX(Anuncios!$B$6:$B$65,MATCH(C701,Anuncios!$A$6:$A$65,0)),"(no está en Anuncios)"))</f>
        <v/>
      </c>
      <c r="E701" s="39" t="n"/>
      <c r="F701" s="40" t="n"/>
      <c r="G701" s="40" t="n"/>
      <c r="H701" s="40" t="n"/>
      <c r="I701" s="39" t="n"/>
      <c r="J701" s="13">
        <f>IF(N(F701)&gt;0,G701/F701,"")</f>
        <v/>
      </c>
      <c r="K701" s="10">
        <f>IF(N(G701)&gt;0,E701/G701,"")</f>
        <v/>
      </c>
      <c r="L701" s="10">
        <f>IF(N(H701)&gt;0,E701/H701,"")</f>
        <v/>
      </c>
      <c r="M701" s="11">
        <f>IF(N(E701)&gt;0,I701/E701,"")</f>
        <v/>
      </c>
      <c r="N701" s="10">
        <f>IF(AND(E701="",I701=""),"",N(I701)*(1-COM-COM_SHOP)-N(E701)*(1+IMP_META))</f>
        <v/>
      </c>
      <c r="O701" s="37" t="n"/>
    </row>
    <row r="702">
      <c r="A702" s="36" t="n"/>
      <c r="B702" s="37" t="n"/>
      <c r="C702" s="37" t="n"/>
      <c r="D702" s="38">
        <f>IF(C702="","",IFERROR(INDEX(Anuncios!$B$6:$B$65,MATCH(C702,Anuncios!$A$6:$A$65,0)),"(no está en Anuncios)"))</f>
        <v/>
      </c>
      <c r="E702" s="39" t="n"/>
      <c r="F702" s="40" t="n"/>
      <c r="G702" s="40" t="n"/>
      <c r="H702" s="40" t="n"/>
      <c r="I702" s="39" t="n"/>
      <c r="J702" s="13">
        <f>IF(N(F702)&gt;0,G702/F702,"")</f>
        <v/>
      </c>
      <c r="K702" s="10">
        <f>IF(N(G702)&gt;0,E702/G702,"")</f>
        <v/>
      </c>
      <c r="L702" s="10">
        <f>IF(N(H702)&gt;0,E702/H702,"")</f>
        <v/>
      </c>
      <c r="M702" s="11">
        <f>IF(N(E702)&gt;0,I702/E702,"")</f>
        <v/>
      </c>
      <c r="N702" s="10">
        <f>IF(AND(E702="",I702=""),"",N(I702)*(1-COM-COM_SHOP)-N(E702)*(1+IMP_META))</f>
        <v/>
      </c>
      <c r="O702" s="37" t="n"/>
    </row>
    <row r="703">
      <c r="A703" s="36" t="n"/>
      <c r="B703" s="37" t="n"/>
      <c r="C703" s="37" t="n"/>
      <c r="D703" s="38">
        <f>IF(C703="","",IFERROR(INDEX(Anuncios!$B$6:$B$65,MATCH(C703,Anuncios!$A$6:$A$65,0)),"(no está en Anuncios)"))</f>
        <v/>
      </c>
      <c r="E703" s="39" t="n"/>
      <c r="F703" s="40" t="n"/>
      <c r="G703" s="40" t="n"/>
      <c r="H703" s="40" t="n"/>
      <c r="I703" s="39" t="n"/>
      <c r="J703" s="13">
        <f>IF(N(F703)&gt;0,G703/F703,"")</f>
        <v/>
      </c>
      <c r="K703" s="10">
        <f>IF(N(G703)&gt;0,E703/G703,"")</f>
        <v/>
      </c>
      <c r="L703" s="10">
        <f>IF(N(H703)&gt;0,E703/H703,"")</f>
        <v/>
      </c>
      <c r="M703" s="11">
        <f>IF(N(E703)&gt;0,I703/E703,"")</f>
        <v/>
      </c>
      <c r="N703" s="10">
        <f>IF(AND(E703="",I703=""),"",N(I703)*(1-COM-COM_SHOP)-N(E703)*(1+IMP_META))</f>
        <v/>
      </c>
      <c r="O703" s="37" t="n"/>
    </row>
    <row r="704">
      <c r="A704" s="36" t="n"/>
      <c r="B704" s="37" t="n"/>
      <c r="C704" s="37" t="n"/>
      <c r="D704" s="38">
        <f>IF(C704="","",IFERROR(INDEX(Anuncios!$B$6:$B$65,MATCH(C704,Anuncios!$A$6:$A$65,0)),"(no está en Anuncios)"))</f>
        <v/>
      </c>
      <c r="E704" s="39" t="n"/>
      <c r="F704" s="40" t="n"/>
      <c r="G704" s="40" t="n"/>
      <c r="H704" s="40" t="n"/>
      <c r="I704" s="39" t="n"/>
      <c r="J704" s="13">
        <f>IF(N(F704)&gt;0,G704/F704,"")</f>
        <v/>
      </c>
      <c r="K704" s="10">
        <f>IF(N(G704)&gt;0,E704/G704,"")</f>
        <v/>
      </c>
      <c r="L704" s="10">
        <f>IF(N(H704)&gt;0,E704/H704,"")</f>
        <v/>
      </c>
      <c r="M704" s="11">
        <f>IF(N(E704)&gt;0,I704/E704,"")</f>
        <v/>
      </c>
      <c r="N704" s="10">
        <f>IF(AND(E704="",I704=""),"",N(I704)*(1-COM-COM_SHOP)-N(E704)*(1+IMP_META))</f>
        <v/>
      </c>
      <c r="O704" s="37" t="n"/>
    </row>
    <row r="705">
      <c r="A705" s="36" t="n"/>
      <c r="B705" s="37" t="n"/>
      <c r="C705" s="37" t="n"/>
      <c r="D705" s="38">
        <f>IF(C705="","",IFERROR(INDEX(Anuncios!$B$6:$B$65,MATCH(C705,Anuncios!$A$6:$A$65,0)),"(no está en Anuncios)"))</f>
        <v/>
      </c>
      <c r="E705" s="39" t="n"/>
      <c r="F705" s="40" t="n"/>
      <c r="G705" s="40" t="n"/>
      <c r="H705" s="40" t="n"/>
      <c r="I705" s="39" t="n"/>
      <c r="J705" s="13">
        <f>IF(N(F705)&gt;0,G705/F705,"")</f>
        <v/>
      </c>
      <c r="K705" s="10">
        <f>IF(N(G705)&gt;0,E705/G705,"")</f>
        <v/>
      </c>
      <c r="L705" s="10">
        <f>IF(N(H705)&gt;0,E705/H705,"")</f>
        <v/>
      </c>
      <c r="M705" s="11">
        <f>IF(N(E705)&gt;0,I705/E705,"")</f>
        <v/>
      </c>
      <c r="N705" s="10">
        <f>IF(AND(E705="",I705=""),"",N(I705)*(1-COM-COM_SHOP)-N(E705)*(1+IMP_META))</f>
        <v/>
      </c>
      <c r="O705" s="37" t="n"/>
    </row>
    <row r="706">
      <c r="A706" s="36" t="n"/>
      <c r="B706" s="37" t="n"/>
      <c r="C706" s="37" t="n"/>
      <c r="D706" s="38">
        <f>IF(C706="","",IFERROR(INDEX(Anuncios!$B$6:$B$65,MATCH(C706,Anuncios!$A$6:$A$65,0)),"(no está en Anuncios)"))</f>
        <v/>
      </c>
      <c r="E706" s="39" t="n"/>
      <c r="F706" s="40" t="n"/>
      <c r="G706" s="40" t="n"/>
      <c r="H706" s="40" t="n"/>
      <c r="I706" s="39" t="n"/>
      <c r="J706" s="13">
        <f>IF(N(F706)&gt;0,G706/F706,"")</f>
        <v/>
      </c>
      <c r="K706" s="10">
        <f>IF(N(G706)&gt;0,E706/G706,"")</f>
        <v/>
      </c>
      <c r="L706" s="10">
        <f>IF(N(H706)&gt;0,E706/H706,"")</f>
        <v/>
      </c>
      <c r="M706" s="11">
        <f>IF(N(E706)&gt;0,I706/E706,"")</f>
        <v/>
      </c>
      <c r="N706" s="10">
        <f>IF(AND(E706="",I706=""),"",N(I706)*(1-COM-COM_SHOP)-N(E706)*(1+IMP_META))</f>
        <v/>
      </c>
      <c r="O706" s="37" t="n"/>
    </row>
    <row r="707">
      <c r="A707" s="36" t="n"/>
      <c r="B707" s="37" t="n"/>
      <c r="C707" s="37" t="n"/>
      <c r="D707" s="38">
        <f>IF(C707="","",IFERROR(INDEX(Anuncios!$B$6:$B$65,MATCH(C707,Anuncios!$A$6:$A$65,0)),"(no está en Anuncios)"))</f>
        <v/>
      </c>
      <c r="E707" s="39" t="n"/>
      <c r="F707" s="40" t="n"/>
      <c r="G707" s="40" t="n"/>
      <c r="H707" s="40" t="n"/>
      <c r="I707" s="39" t="n"/>
      <c r="J707" s="13">
        <f>IF(N(F707)&gt;0,G707/F707,"")</f>
        <v/>
      </c>
      <c r="K707" s="10">
        <f>IF(N(G707)&gt;0,E707/G707,"")</f>
        <v/>
      </c>
      <c r="L707" s="10">
        <f>IF(N(H707)&gt;0,E707/H707,"")</f>
        <v/>
      </c>
      <c r="M707" s="11">
        <f>IF(N(E707)&gt;0,I707/E707,"")</f>
        <v/>
      </c>
      <c r="N707" s="10">
        <f>IF(AND(E707="",I707=""),"",N(I707)*(1-COM-COM_SHOP)-N(E707)*(1+IMP_META))</f>
        <v/>
      </c>
      <c r="O707" s="37" t="n"/>
    </row>
    <row r="708">
      <c r="A708" s="36" t="n"/>
      <c r="B708" s="37" t="n"/>
      <c r="C708" s="37" t="n"/>
      <c r="D708" s="38">
        <f>IF(C708="","",IFERROR(INDEX(Anuncios!$B$6:$B$65,MATCH(C708,Anuncios!$A$6:$A$65,0)),"(no está en Anuncios)"))</f>
        <v/>
      </c>
      <c r="E708" s="39" t="n"/>
      <c r="F708" s="40" t="n"/>
      <c r="G708" s="40" t="n"/>
      <c r="H708" s="40" t="n"/>
      <c r="I708" s="39" t="n"/>
      <c r="J708" s="13">
        <f>IF(N(F708)&gt;0,G708/F708,"")</f>
        <v/>
      </c>
      <c r="K708" s="10">
        <f>IF(N(G708)&gt;0,E708/G708,"")</f>
        <v/>
      </c>
      <c r="L708" s="10">
        <f>IF(N(H708)&gt;0,E708/H708,"")</f>
        <v/>
      </c>
      <c r="M708" s="11">
        <f>IF(N(E708)&gt;0,I708/E708,"")</f>
        <v/>
      </c>
      <c r="N708" s="10">
        <f>IF(AND(E708="",I708=""),"",N(I708)*(1-COM-COM_SHOP)-N(E708)*(1+IMP_META))</f>
        <v/>
      </c>
      <c r="O708" s="37" t="n"/>
    </row>
    <row r="709">
      <c r="A709" s="36" t="n"/>
      <c r="B709" s="37" t="n"/>
      <c r="C709" s="37" t="n"/>
      <c r="D709" s="38">
        <f>IF(C709="","",IFERROR(INDEX(Anuncios!$B$6:$B$65,MATCH(C709,Anuncios!$A$6:$A$65,0)),"(no está en Anuncios)"))</f>
        <v/>
      </c>
      <c r="E709" s="39" t="n"/>
      <c r="F709" s="40" t="n"/>
      <c r="G709" s="40" t="n"/>
      <c r="H709" s="40" t="n"/>
      <c r="I709" s="39" t="n"/>
      <c r="J709" s="13">
        <f>IF(N(F709)&gt;0,G709/F709,"")</f>
        <v/>
      </c>
      <c r="K709" s="10">
        <f>IF(N(G709)&gt;0,E709/G709,"")</f>
        <v/>
      </c>
      <c r="L709" s="10">
        <f>IF(N(H709)&gt;0,E709/H709,"")</f>
        <v/>
      </c>
      <c r="M709" s="11">
        <f>IF(N(E709)&gt;0,I709/E709,"")</f>
        <v/>
      </c>
      <c r="N709" s="10">
        <f>IF(AND(E709="",I709=""),"",N(I709)*(1-COM-COM_SHOP)-N(E709)*(1+IMP_META))</f>
        <v/>
      </c>
      <c r="O709" s="37" t="n"/>
    </row>
    <row r="710">
      <c r="A710" s="36" t="n"/>
      <c r="B710" s="37" t="n"/>
      <c r="C710" s="37" t="n"/>
      <c r="D710" s="38">
        <f>IF(C710="","",IFERROR(INDEX(Anuncios!$B$6:$B$65,MATCH(C710,Anuncios!$A$6:$A$65,0)),"(no está en Anuncios)"))</f>
        <v/>
      </c>
      <c r="E710" s="39" t="n"/>
      <c r="F710" s="40" t="n"/>
      <c r="G710" s="40" t="n"/>
      <c r="H710" s="40" t="n"/>
      <c r="I710" s="39" t="n"/>
      <c r="J710" s="13">
        <f>IF(N(F710)&gt;0,G710/F710,"")</f>
        <v/>
      </c>
      <c r="K710" s="10">
        <f>IF(N(G710)&gt;0,E710/G710,"")</f>
        <v/>
      </c>
      <c r="L710" s="10">
        <f>IF(N(H710)&gt;0,E710/H710,"")</f>
        <v/>
      </c>
      <c r="M710" s="11">
        <f>IF(N(E710)&gt;0,I710/E710,"")</f>
        <v/>
      </c>
      <c r="N710" s="10">
        <f>IF(AND(E710="",I710=""),"",N(I710)*(1-COM-COM_SHOP)-N(E710)*(1+IMP_META))</f>
        <v/>
      </c>
      <c r="O710" s="37" t="n"/>
    </row>
    <row r="711">
      <c r="A711" s="36" t="n"/>
      <c r="B711" s="37" t="n"/>
      <c r="C711" s="37" t="n"/>
      <c r="D711" s="38">
        <f>IF(C711="","",IFERROR(INDEX(Anuncios!$B$6:$B$65,MATCH(C711,Anuncios!$A$6:$A$65,0)),"(no está en Anuncios)"))</f>
        <v/>
      </c>
      <c r="E711" s="39" t="n"/>
      <c r="F711" s="40" t="n"/>
      <c r="G711" s="40" t="n"/>
      <c r="H711" s="40" t="n"/>
      <c r="I711" s="39" t="n"/>
      <c r="J711" s="13">
        <f>IF(N(F711)&gt;0,G711/F711,"")</f>
        <v/>
      </c>
      <c r="K711" s="10">
        <f>IF(N(G711)&gt;0,E711/G711,"")</f>
        <v/>
      </c>
      <c r="L711" s="10">
        <f>IF(N(H711)&gt;0,E711/H711,"")</f>
        <v/>
      </c>
      <c r="M711" s="11">
        <f>IF(N(E711)&gt;0,I711/E711,"")</f>
        <v/>
      </c>
      <c r="N711" s="10">
        <f>IF(AND(E711="",I711=""),"",N(I711)*(1-COM-COM_SHOP)-N(E711)*(1+IMP_META))</f>
        <v/>
      </c>
      <c r="O711" s="37" t="n"/>
    </row>
    <row r="712">
      <c r="A712" s="36" t="n"/>
      <c r="B712" s="37" t="n"/>
      <c r="C712" s="37" t="n"/>
      <c r="D712" s="38">
        <f>IF(C712="","",IFERROR(INDEX(Anuncios!$B$6:$B$65,MATCH(C712,Anuncios!$A$6:$A$65,0)),"(no está en Anuncios)"))</f>
        <v/>
      </c>
      <c r="E712" s="39" t="n"/>
      <c r="F712" s="40" t="n"/>
      <c r="G712" s="40" t="n"/>
      <c r="H712" s="40" t="n"/>
      <c r="I712" s="39" t="n"/>
      <c r="J712" s="13">
        <f>IF(N(F712)&gt;0,G712/F712,"")</f>
        <v/>
      </c>
      <c r="K712" s="10">
        <f>IF(N(G712)&gt;0,E712/G712,"")</f>
        <v/>
      </c>
      <c r="L712" s="10">
        <f>IF(N(H712)&gt;0,E712/H712,"")</f>
        <v/>
      </c>
      <c r="M712" s="11">
        <f>IF(N(E712)&gt;0,I712/E712,"")</f>
        <v/>
      </c>
      <c r="N712" s="10">
        <f>IF(AND(E712="",I712=""),"",N(I712)*(1-COM-COM_SHOP)-N(E712)*(1+IMP_META))</f>
        <v/>
      </c>
      <c r="O712" s="37" t="n"/>
    </row>
    <row r="713">
      <c r="A713" s="36" t="n"/>
      <c r="B713" s="37" t="n"/>
      <c r="C713" s="37" t="n"/>
      <c r="D713" s="38">
        <f>IF(C713="","",IFERROR(INDEX(Anuncios!$B$6:$B$65,MATCH(C713,Anuncios!$A$6:$A$65,0)),"(no está en Anuncios)"))</f>
        <v/>
      </c>
      <c r="E713" s="39" t="n"/>
      <c r="F713" s="40" t="n"/>
      <c r="G713" s="40" t="n"/>
      <c r="H713" s="40" t="n"/>
      <c r="I713" s="39" t="n"/>
      <c r="J713" s="13">
        <f>IF(N(F713)&gt;0,G713/F713,"")</f>
        <v/>
      </c>
      <c r="K713" s="10">
        <f>IF(N(G713)&gt;0,E713/G713,"")</f>
        <v/>
      </c>
      <c r="L713" s="10">
        <f>IF(N(H713)&gt;0,E713/H713,"")</f>
        <v/>
      </c>
      <c r="M713" s="11">
        <f>IF(N(E713)&gt;0,I713/E713,"")</f>
        <v/>
      </c>
      <c r="N713" s="10">
        <f>IF(AND(E713="",I713=""),"",N(I713)*(1-COM-COM_SHOP)-N(E713)*(1+IMP_META))</f>
        <v/>
      </c>
      <c r="O713" s="37" t="n"/>
    </row>
    <row r="714">
      <c r="A714" s="36" t="n"/>
      <c r="B714" s="37" t="n"/>
      <c r="C714" s="37" t="n"/>
      <c r="D714" s="38">
        <f>IF(C714="","",IFERROR(INDEX(Anuncios!$B$6:$B$65,MATCH(C714,Anuncios!$A$6:$A$65,0)),"(no está en Anuncios)"))</f>
        <v/>
      </c>
      <c r="E714" s="39" t="n"/>
      <c r="F714" s="40" t="n"/>
      <c r="G714" s="40" t="n"/>
      <c r="H714" s="40" t="n"/>
      <c r="I714" s="39" t="n"/>
      <c r="J714" s="13">
        <f>IF(N(F714)&gt;0,G714/F714,"")</f>
        <v/>
      </c>
      <c r="K714" s="10">
        <f>IF(N(G714)&gt;0,E714/G714,"")</f>
        <v/>
      </c>
      <c r="L714" s="10">
        <f>IF(N(H714)&gt;0,E714/H714,"")</f>
        <v/>
      </c>
      <c r="M714" s="11">
        <f>IF(N(E714)&gt;0,I714/E714,"")</f>
        <v/>
      </c>
      <c r="N714" s="10">
        <f>IF(AND(E714="",I714=""),"",N(I714)*(1-COM-COM_SHOP)-N(E714)*(1+IMP_META))</f>
        <v/>
      </c>
      <c r="O714" s="37" t="n"/>
    </row>
    <row r="715">
      <c r="A715" s="36" t="n"/>
      <c r="B715" s="37" t="n"/>
      <c r="C715" s="37" t="n"/>
      <c r="D715" s="38">
        <f>IF(C715="","",IFERROR(INDEX(Anuncios!$B$6:$B$65,MATCH(C715,Anuncios!$A$6:$A$65,0)),"(no está en Anuncios)"))</f>
        <v/>
      </c>
      <c r="E715" s="39" t="n"/>
      <c r="F715" s="40" t="n"/>
      <c r="G715" s="40" t="n"/>
      <c r="H715" s="40" t="n"/>
      <c r="I715" s="39" t="n"/>
      <c r="J715" s="13">
        <f>IF(N(F715)&gt;0,G715/F715,"")</f>
        <v/>
      </c>
      <c r="K715" s="10">
        <f>IF(N(G715)&gt;0,E715/G715,"")</f>
        <v/>
      </c>
      <c r="L715" s="10">
        <f>IF(N(H715)&gt;0,E715/H715,"")</f>
        <v/>
      </c>
      <c r="M715" s="11">
        <f>IF(N(E715)&gt;0,I715/E715,"")</f>
        <v/>
      </c>
      <c r="N715" s="10">
        <f>IF(AND(E715="",I715=""),"",N(I715)*(1-COM-COM_SHOP)-N(E715)*(1+IMP_META))</f>
        <v/>
      </c>
      <c r="O715" s="37" t="n"/>
    </row>
    <row r="716">
      <c r="A716" s="36" t="n"/>
      <c r="B716" s="37" t="n"/>
      <c r="C716" s="37" t="n"/>
      <c r="D716" s="38">
        <f>IF(C716="","",IFERROR(INDEX(Anuncios!$B$6:$B$65,MATCH(C716,Anuncios!$A$6:$A$65,0)),"(no está en Anuncios)"))</f>
        <v/>
      </c>
      <c r="E716" s="39" t="n"/>
      <c r="F716" s="40" t="n"/>
      <c r="G716" s="40" t="n"/>
      <c r="H716" s="40" t="n"/>
      <c r="I716" s="39" t="n"/>
      <c r="J716" s="13">
        <f>IF(N(F716)&gt;0,G716/F716,"")</f>
        <v/>
      </c>
      <c r="K716" s="10">
        <f>IF(N(G716)&gt;0,E716/G716,"")</f>
        <v/>
      </c>
      <c r="L716" s="10">
        <f>IF(N(H716)&gt;0,E716/H716,"")</f>
        <v/>
      </c>
      <c r="M716" s="11">
        <f>IF(N(E716)&gt;0,I716/E716,"")</f>
        <v/>
      </c>
      <c r="N716" s="10">
        <f>IF(AND(E716="",I716=""),"",N(I716)*(1-COM-COM_SHOP)-N(E716)*(1+IMP_META))</f>
        <v/>
      </c>
      <c r="O716" s="37" t="n"/>
    </row>
    <row r="717">
      <c r="A717" s="36" t="n"/>
      <c r="B717" s="37" t="n"/>
      <c r="C717" s="37" t="n"/>
      <c r="D717" s="38">
        <f>IF(C717="","",IFERROR(INDEX(Anuncios!$B$6:$B$65,MATCH(C717,Anuncios!$A$6:$A$65,0)),"(no está en Anuncios)"))</f>
        <v/>
      </c>
      <c r="E717" s="39" t="n"/>
      <c r="F717" s="40" t="n"/>
      <c r="G717" s="40" t="n"/>
      <c r="H717" s="40" t="n"/>
      <c r="I717" s="39" t="n"/>
      <c r="J717" s="13">
        <f>IF(N(F717)&gt;0,G717/F717,"")</f>
        <v/>
      </c>
      <c r="K717" s="10">
        <f>IF(N(G717)&gt;0,E717/G717,"")</f>
        <v/>
      </c>
      <c r="L717" s="10">
        <f>IF(N(H717)&gt;0,E717/H717,"")</f>
        <v/>
      </c>
      <c r="M717" s="11">
        <f>IF(N(E717)&gt;0,I717/E717,"")</f>
        <v/>
      </c>
      <c r="N717" s="10">
        <f>IF(AND(E717="",I717=""),"",N(I717)*(1-COM-COM_SHOP)-N(E717)*(1+IMP_META))</f>
        <v/>
      </c>
      <c r="O717" s="37" t="n"/>
    </row>
    <row r="718">
      <c r="A718" s="36" t="n"/>
      <c r="B718" s="37" t="n"/>
      <c r="C718" s="37" t="n"/>
      <c r="D718" s="38">
        <f>IF(C718="","",IFERROR(INDEX(Anuncios!$B$6:$B$65,MATCH(C718,Anuncios!$A$6:$A$65,0)),"(no está en Anuncios)"))</f>
        <v/>
      </c>
      <c r="E718" s="39" t="n"/>
      <c r="F718" s="40" t="n"/>
      <c r="G718" s="40" t="n"/>
      <c r="H718" s="40" t="n"/>
      <c r="I718" s="39" t="n"/>
      <c r="J718" s="13">
        <f>IF(N(F718)&gt;0,G718/F718,"")</f>
        <v/>
      </c>
      <c r="K718" s="10">
        <f>IF(N(G718)&gt;0,E718/G718,"")</f>
        <v/>
      </c>
      <c r="L718" s="10">
        <f>IF(N(H718)&gt;0,E718/H718,"")</f>
        <v/>
      </c>
      <c r="M718" s="11">
        <f>IF(N(E718)&gt;0,I718/E718,"")</f>
        <v/>
      </c>
      <c r="N718" s="10">
        <f>IF(AND(E718="",I718=""),"",N(I718)*(1-COM-COM_SHOP)-N(E718)*(1+IMP_META))</f>
        <v/>
      </c>
      <c r="O718" s="37" t="n"/>
    </row>
    <row r="719">
      <c r="A719" s="36" t="n"/>
      <c r="B719" s="37" t="n"/>
      <c r="C719" s="37" t="n"/>
      <c r="D719" s="38">
        <f>IF(C719="","",IFERROR(INDEX(Anuncios!$B$6:$B$65,MATCH(C719,Anuncios!$A$6:$A$65,0)),"(no está en Anuncios)"))</f>
        <v/>
      </c>
      <c r="E719" s="39" t="n"/>
      <c r="F719" s="40" t="n"/>
      <c r="G719" s="40" t="n"/>
      <c r="H719" s="40" t="n"/>
      <c r="I719" s="39" t="n"/>
      <c r="J719" s="13">
        <f>IF(N(F719)&gt;0,G719/F719,"")</f>
        <v/>
      </c>
      <c r="K719" s="10">
        <f>IF(N(G719)&gt;0,E719/G719,"")</f>
        <v/>
      </c>
      <c r="L719" s="10">
        <f>IF(N(H719)&gt;0,E719/H719,"")</f>
        <v/>
      </c>
      <c r="M719" s="11">
        <f>IF(N(E719)&gt;0,I719/E719,"")</f>
        <v/>
      </c>
      <c r="N719" s="10">
        <f>IF(AND(E719="",I719=""),"",N(I719)*(1-COM-COM_SHOP)-N(E719)*(1+IMP_META))</f>
        <v/>
      </c>
      <c r="O719" s="37" t="n"/>
    </row>
    <row r="720">
      <c r="A720" s="36" t="n"/>
      <c r="B720" s="37" t="n"/>
      <c r="C720" s="37" t="n"/>
      <c r="D720" s="38">
        <f>IF(C720="","",IFERROR(INDEX(Anuncios!$B$6:$B$65,MATCH(C720,Anuncios!$A$6:$A$65,0)),"(no está en Anuncios)"))</f>
        <v/>
      </c>
      <c r="E720" s="39" t="n"/>
      <c r="F720" s="40" t="n"/>
      <c r="G720" s="40" t="n"/>
      <c r="H720" s="40" t="n"/>
      <c r="I720" s="39" t="n"/>
      <c r="J720" s="13">
        <f>IF(N(F720)&gt;0,G720/F720,"")</f>
        <v/>
      </c>
      <c r="K720" s="10">
        <f>IF(N(G720)&gt;0,E720/G720,"")</f>
        <v/>
      </c>
      <c r="L720" s="10">
        <f>IF(N(H720)&gt;0,E720/H720,"")</f>
        <v/>
      </c>
      <c r="M720" s="11">
        <f>IF(N(E720)&gt;0,I720/E720,"")</f>
        <v/>
      </c>
      <c r="N720" s="10">
        <f>IF(AND(E720="",I720=""),"",N(I720)*(1-COM-COM_SHOP)-N(E720)*(1+IMP_META))</f>
        <v/>
      </c>
      <c r="O720" s="37" t="n"/>
    </row>
    <row r="721">
      <c r="A721" s="36" t="n"/>
      <c r="B721" s="37" t="n"/>
      <c r="C721" s="37" t="n"/>
      <c r="D721" s="38">
        <f>IF(C721="","",IFERROR(INDEX(Anuncios!$B$6:$B$65,MATCH(C721,Anuncios!$A$6:$A$65,0)),"(no está en Anuncios)"))</f>
        <v/>
      </c>
      <c r="E721" s="39" t="n"/>
      <c r="F721" s="40" t="n"/>
      <c r="G721" s="40" t="n"/>
      <c r="H721" s="40" t="n"/>
      <c r="I721" s="39" t="n"/>
      <c r="J721" s="13">
        <f>IF(N(F721)&gt;0,G721/F721,"")</f>
        <v/>
      </c>
      <c r="K721" s="10">
        <f>IF(N(G721)&gt;0,E721/G721,"")</f>
        <v/>
      </c>
      <c r="L721" s="10">
        <f>IF(N(H721)&gt;0,E721/H721,"")</f>
        <v/>
      </c>
      <c r="M721" s="11">
        <f>IF(N(E721)&gt;0,I721/E721,"")</f>
        <v/>
      </c>
      <c r="N721" s="10">
        <f>IF(AND(E721="",I721=""),"",N(I721)*(1-COM-COM_SHOP)-N(E721)*(1+IMP_META))</f>
        <v/>
      </c>
      <c r="O721" s="37" t="n"/>
    </row>
    <row r="722">
      <c r="A722" s="36" t="n"/>
      <c r="B722" s="37" t="n"/>
      <c r="C722" s="37" t="n"/>
      <c r="D722" s="38">
        <f>IF(C722="","",IFERROR(INDEX(Anuncios!$B$6:$B$65,MATCH(C722,Anuncios!$A$6:$A$65,0)),"(no está en Anuncios)"))</f>
        <v/>
      </c>
      <c r="E722" s="39" t="n"/>
      <c r="F722" s="40" t="n"/>
      <c r="G722" s="40" t="n"/>
      <c r="H722" s="40" t="n"/>
      <c r="I722" s="39" t="n"/>
      <c r="J722" s="13">
        <f>IF(N(F722)&gt;0,G722/F722,"")</f>
        <v/>
      </c>
      <c r="K722" s="10">
        <f>IF(N(G722)&gt;0,E722/G722,"")</f>
        <v/>
      </c>
      <c r="L722" s="10">
        <f>IF(N(H722)&gt;0,E722/H722,"")</f>
        <v/>
      </c>
      <c r="M722" s="11">
        <f>IF(N(E722)&gt;0,I722/E722,"")</f>
        <v/>
      </c>
      <c r="N722" s="10">
        <f>IF(AND(E722="",I722=""),"",N(I722)*(1-COM-COM_SHOP)-N(E722)*(1+IMP_META))</f>
        <v/>
      </c>
      <c r="O722" s="37" t="n"/>
    </row>
    <row r="723">
      <c r="A723" s="36" t="n"/>
      <c r="B723" s="37" t="n"/>
      <c r="C723" s="37" t="n"/>
      <c r="D723" s="38">
        <f>IF(C723="","",IFERROR(INDEX(Anuncios!$B$6:$B$65,MATCH(C723,Anuncios!$A$6:$A$65,0)),"(no está en Anuncios)"))</f>
        <v/>
      </c>
      <c r="E723" s="39" t="n"/>
      <c r="F723" s="40" t="n"/>
      <c r="G723" s="40" t="n"/>
      <c r="H723" s="40" t="n"/>
      <c r="I723" s="39" t="n"/>
      <c r="J723" s="13">
        <f>IF(N(F723)&gt;0,G723/F723,"")</f>
        <v/>
      </c>
      <c r="K723" s="10">
        <f>IF(N(G723)&gt;0,E723/G723,"")</f>
        <v/>
      </c>
      <c r="L723" s="10">
        <f>IF(N(H723)&gt;0,E723/H723,"")</f>
        <v/>
      </c>
      <c r="M723" s="11">
        <f>IF(N(E723)&gt;0,I723/E723,"")</f>
        <v/>
      </c>
      <c r="N723" s="10">
        <f>IF(AND(E723="",I723=""),"",N(I723)*(1-COM-COM_SHOP)-N(E723)*(1+IMP_META))</f>
        <v/>
      </c>
      <c r="O723" s="37" t="n"/>
    </row>
    <row r="724">
      <c r="A724" s="36" t="n"/>
      <c r="B724" s="37" t="n"/>
      <c r="C724" s="37" t="n"/>
      <c r="D724" s="38">
        <f>IF(C724="","",IFERROR(INDEX(Anuncios!$B$6:$B$65,MATCH(C724,Anuncios!$A$6:$A$65,0)),"(no está en Anuncios)"))</f>
        <v/>
      </c>
      <c r="E724" s="39" t="n"/>
      <c r="F724" s="40" t="n"/>
      <c r="G724" s="40" t="n"/>
      <c r="H724" s="40" t="n"/>
      <c r="I724" s="39" t="n"/>
      <c r="J724" s="13">
        <f>IF(N(F724)&gt;0,G724/F724,"")</f>
        <v/>
      </c>
      <c r="K724" s="10">
        <f>IF(N(G724)&gt;0,E724/G724,"")</f>
        <v/>
      </c>
      <c r="L724" s="10">
        <f>IF(N(H724)&gt;0,E724/H724,"")</f>
        <v/>
      </c>
      <c r="M724" s="11">
        <f>IF(N(E724)&gt;0,I724/E724,"")</f>
        <v/>
      </c>
      <c r="N724" s="10">
        <f>IF(AND(E724="",I724=""),"",N(I724)*(1-COM-COM_SHOP)-N(E724)*(1+IMP_META))</f>
        <v/>
      </c>
      <c r="O724" s="37" t="n"/>
    </row>
    <row r="725">
      <c r="A725" s="36" t="n"/>
      <c r="B725" s="37" t="n"/>
      <c r="C725" s="37" t="n"/>
      <c r="D725" s="38">
        <f>IF(C725="","",IFERROR(INDEX(Anuncios!$B$6:$B$65,MATCH(C725,Anuncios!$A$6:$A$65,0)),"(no está en Anuncios)"))</f>
        <v/>
      </c>
      <c r="E725" s="39" t="n"/>
      <c r="F725" s="40" t="n"/>
      <c r="G725" s="40" t="n"/>
      <c r="H725" s="40" t="n"/>
      <c r="I725" s="39" t="n"/>
      <c r="J725" s="13">
        <f>IF(N(F725)&gt;0,G725/F725,"")</f>
        <v/>
      </c>
      <c r="K725" s="10">
        <f>IF(N(G725)&gt;0,E725/G725,"")</f>
        <v/>
      </c>
      <c r="L725" s="10">
        <f>IF(N(H725)&gt;0,E725/H725,"")</f>
        <v/>
      </c>
      <c r="M725" s="11">
        <f>IF(N(E725)&gt;0,I725/E725,"")</f>
        <v/>
      </c>
      <c r="N725" s="10">
        <f>IF(AND(E725="",I725=""),"",N(I725)*(1-COM-COM_SHOP)-N(E725)*(1+IMP_META))</f>
        <v/>
      </c>
      <c r="O725" s="37" t="n"/>
    </row>
    <row r="726">
      <c r="A726" s="36" t="n"/>
      <c r="B726" s="37" t="n"/>
      <c r="C726" s="37" t="n"/>
      <c r="D726" s="38">
        <f>IF(C726="","",IFERROR(INDEX(Anuncios!$B$6:$B$65,MATCH(C726,Anuncios!$A$6:$A$65,0)),"(no está en Anuncios)"))</f>
        <v/>
      </c>
      <c r="E726" s="39" t="n"/>
      <c r="F726" s="40" t="n"/>
      <c r="G726" s="40" t="n"/>
      <c r="H726" s="40" t="n"/>
      <c r="I726" s="39" t="n"/>
      <c r="J726" s="13">
        <f>IF(N(F726)&gt;0,G726/F726,"")</f>
        <v/>
      </c>
      <c r="K726" s="10">
        <f>IF(N(G726)&gt;0,E726/G726,"")</f>
        <v/>
      </c>
      <c r="L726" s="10">
        <f>IF(N(H726)&gt;0,E726/H726,"")</f>
        <v/>
      </c>
      <c r="M726" s="11">
        <f>IF(N(E726)&gt;0,I726/E726,"")</f>
        <v/>
      </c>
      <c r="N726" s="10">
        <f>IF(AND(E726="",I726=""),"",N(I726)*(1-COM-COM_SHOP)-N(E726)*(1+IMP_META))</f>
        <v/>
      </c>
      <c r="O726" s="37" t="n"/>
    </row>
    <row r="727">
      <c r="A727" s="36" t="n"/>
      <c r="B727" s="37" t="n"/>
      <c r="C727" s="37" t="n"/>
      <c r="D727" s="38">
        <f>IF(C727="","",IFERROR(INDEX(Anuncios!$B$6:$B$65,MATCH(C727,Anuncios!$A$6:$A$65,0)),"(no está en Anuncios)"))</f>
        <v/>
      </c>
      <c r="E727" s="39" t="n"/>
      <c r="F727" s="40" t="n"/>
      <c r="G727" s="40" t="n"/>
      <c r="H727" s="40" t="n"/>
      <c r="I727" s="39" t="n"/>
      <c r="J727" s="13">
        <f>IF(N(F727)&gt;0,G727/F727,"")</f>
        <v/>
      </c>
      <c r="K727" s="10">
        <f>IF(N(G727)&gt;0,E727/G727,"")</f>
        <v/>
      </c>
      <c r="L727" s="10">
        <f>IF(N(H727)&gt;0,E727/H727,"")</f>
        <v/>
      </c>
      <c r="M727" s="11">
        <f>IF(N(E727)&gt;0,I727/E727,"")</f>
        <v/>
      </c>
      <c r="N727" s="10">
        <f>IF(AND(E727="",I727=""),"",N(I727)*(1-COM-COM_SHOP)-N(E727)*(1+IMP_META))</f>
        <v/>
      </c>
      <c r="O727" s="37" t="n"/>
    </row>
    <row r="728">
      <c r="A728" s="36" t="n"/>
      <c r="B728" s="37" t="n"/>
      <c r="C728" s="37" t="n"/>
      <c r="D728" s="38">
        <f>IF(C728="","",IFERROR(INDEX(Anuncios!$B$6:$B$65,MATCH(C728,Anuncios!$A$6:$A$65,0)),"(no está en Anuncios)"))</f>
        <v/>
      </c>
      <c r="E728" s="39" t="n"/>
      <c r="F728" s="40" t="n"/>
      <c r="G728" s="40" t="n"/>
      <c r="H728" s="40" t="n"/>
      <c r="I728" s="39" t="n"/>
      <c r="J728" s="13">
        <f>IF(N(F728)&gt;0,G728/F728,"")</f>
        <v/>
      </c>
      <c r="K728" s="10">
        <f>IF(N(G728)&gt;0,E728/G728,"")</f>
        <v/>
      </c>
      <c r="L728" s="10">
        <f>IF(N(H728)&gt;0,E728/H728,"")</f>
        <v/>
      </c>
      <c r="M728" s="11">
        <f>IF(N(E728)&gt;0,I728/E728,"")</f>
        <v/>
      </c>
      <c r="N728" s="10">
        <f>IF(AND(E728="",I728=""),"",N(I728)*(1-COM-COM_SHOP)-N(E728)*(1+IMP_META))</f>
        <v/>
      </c>
      <c r="O728" s="37" t="n"/>
    </row>
    <row r="729">
      <c r="A729" s="36" t="n"/>
      <c r="B729" s="37" t="n"/>
      <c r="C729" s="37" t="n"/>
      <c r="D729" s="38">
        <f>IF(C729="","",IFERROR(INDEX(Anuncios!$B$6:$B$65,MATCH(C729,Anuncios!$A$6:$A$65,0)),"(no está en Anuncios)"))</f>
        <v/>
      </c>
      <c r="E729" s="39" t="n"/>
      <c r="F729" s="40" t="n"/>
      <c r="G729" s="40" t="n"/>
      <c r="H729" s="40" t="n"/>
      <c r="I729" s="39" t="n"/>
      <c r="J729" s="13">
        <f>IF(N(F729)&gt;0,G729/F729,"")</f>
        <v/>
      </c>
      <c r="K729" s="10">
        <f>IF(N(G729)&gt;0,E729/G729,"")</f>
        <v/>
      </c>
      <c r="L729" s="10">
        <f>IF(N(H729)&gt;0,E729/H729,"")</f>
        <v/>
      </c>
      <c r="M729" s="11">
        <f>IF(N(E729)&gt;0,I729/E729,"")</f>
        <v/>
      </c>
      <c r="N729" s="10">
        <f>IF(AND(E729="",I729=""),"",N(I729)*(1-COM-COM_SHOP)-N(E729)*(1+IMP_META))</f>
        <v/>
      </c>
      <c r="O729" s="37" t="n"/>
    </row>
    <row r="730">
      <c r="A730" s="36" t="n"/>
      <c r="B730" s="37" t="n"/>
      <c r="C730" s="37" t="n"/>
      <c r="D730" s="38">
        <f>IF(C730="","",IFERROR(INDEX(Anuncios!$B$6:$B$65,MATCH(C730,Anuncios!$A$6:$A$65,0)),"(no está en Anuncios)"))</f>
        <v/>
      </c>
      <c r="E730" s="39" t="n"/>
      <c r="F730" s="40" t="n"/>
      <c r="G730" s="40" t="n"/>
      <c r="H730" s="40" t="n"/>
      <c r="I730" s="39" t="n"/>
      <c r="J730" s="13">
        <f>IF(N(F730)&gt;0,G730/F730,"")</f>
        <v/>
      </c>
      <c r="K730" s="10">
        <f>IF(N(G730)&gt;0,E730/G730,"")</f>
        <v/>
      </c>
      <c r="L730" s="10">
        <f>IF(N(H730)&gt;0,E730/H730,"")</f>
        <v/>
      </c>
      <c r="M730" s="11">
        <f>IF(N(E730)&gt;0,I730/E730,"")</f>
        <v/>
      </c>
      <c r="N730" s="10">
        <f>IF(AND(E730="",I730=""),"",N(I730)*(1-COM-COM_SHOP)-N(E730)*(1+IMP_META))</f>
        <v/>
      </c>
      <c r="O730" s="37" t="n"/>
    </row>
    <row r="731">
      <c r="A731" s="36" t="n"/>
      <c r="B731" s="37" t="n"/>
      <c r="C731" s="37" t="n"/>
      <c r="D731" s="38">
        <f>IF(C731="","",IFERROR(INDEX(Anuncios!$B$6:$B$65,MATCH(C731,Anuncios!$A$6:$A$65,0)),"(no está en Anuncios)"))</f>
        <v/>
      </c>
      <c r="E731" s="39" t="n"/>
      <c r="F731" s="40" t="n"/>
      <c r="G731" s="40" t="n"/>
      <c r="H731" s="40" t="n"/>
      <c r="I731" s="39" t="n"/>
      <c r="J731" s="13">
        <f>IF(N(F731)&gt;0,G731/F731,"")</f>
        <v/>
      </c>
      <c r="K731" s="10">
        <f>IF(N(G731)&gt;0,E731/G731,"")</f>
        <v/>
      </c>
      <c r="L731" s="10">
        <f>IF(N(H731)&gt;0,E731/H731,"")</f>
        <v/>
      </c>
      <c r="M731" s="11">
        <f>IF(N(E731)&gt;0,I731/E731,"")</f>
        <v/>
      </c>
      <c r="N731" s="10">
        <f>IF(AND(E731="",I731=""),"",N(I731)*(1-COM-COM_SHOP)-N(E731)*(1+IMP_META))</f>
        <v/>
      </c>
      <c r="O731" s="37" t="n"/>
    </row>
    <row r="732">
      <c r="A732" s="36" t="n"/>
      <c r="B732" s="37" t="n"/>
      <c r="C732" s="37" t="n"/>
      <c r="D732" s="38">
        <f>IF(C732="","",IFERROR(INDEX(Anuncios!$B$6:$B$65,MATCH(C732,Anuncios!$A$6:$A$65,0)),"(no está en Anuncios)"))</f>
        <v/>
      </c>
      <c r="E732" s="39" t="n"/>
      <c r="F732" s="40" t="n"/>
      <c r="G732" s="40" t="n"/>
      <c r="H732" s="40" t="n"/>
      <c r="I732" s="39" t="n"/>
      <c r="J732" s="13">
        <f>IF(N(F732)&gt;0,G732/F732,"")</f>
        <v/>
      </c>
      <c r="K732" s="10">
        <f>IF(N(G732)&gt;0,E732/G732,"")</f>
        <v/>
      </c>
      <c r="L732" s="10">
        <f>IF(N(H732)&gt;0,E732/H732,"")</f>
        <v/>
      </c>
      <c r="M732" s="11">
        <f>IF(N(E732)&gt;0,I732/E732,"")</f>
        <v/>
      </c>
      <c r="N732" s="10">
        <f>IF(AND(E732="",I732=""),"",N(I732)*(1-COM-COM_SHOP)-N(E732)*(1+IMP_META))</f>
        <v/>
      </c>
      <c r="O732" s="37" t="n"/>
    </row>
    <row r="733">
      <c r="A733" s="36" t="n"/>
      <c r="B733" s="37" t="n"/>
      <c r="C733" s="37" t="n"/>
      <c r="D733" s="38">
        <f>IF(C733="","",IFERROR(INDEX(Anuncios!$B$6:$B$65,MATCH(C733,Anuncios!$A$6:$A$65,0)),"(no está en Anuncios)"))</f>
        <v/>
      </c>
      <c r="E733" s="39" t="n"/>
      <c r="F733" s="40" t="n"/>
      <c r="G733" s="40" t="n"/>
      <c r="H733" s="40" t="n"/>
      <c r="I733" s="39" t="n"/>
      <c r="J733" s="13">
        <f>IF(N(F733)&gt;0,G733/F733,"")</f>
        <v/>
      </c>
      <c r="K733" s="10">
        <f>IF(N(G733)&gt;0,E733/G733,"")</f>
        <v/>
      </c>
      <c r="L733" s="10">
        <f>IF(N(H733)&gt;0,E733/H733,"")</f>
        <v/>
      </c>
      <c r="M733" s="11">
        <f>IF(N(E733)&gt;0,I733/E733,"")</f>
        <v/>
      </c>
      <c r="N733" s="10">
        <f>IF(AND(E733="",I733=""),"",N(I733)*(1-COM-COM_SHOP)-N(E733)*(1+IMP_META))</f>
        <v/>
      </c>
      <c r="O733" s="37" t="n"/>
    </row>
    <row r="734">
      <c r="A734" s="36" t="n"/>
      <c r="B734" s="37" t="n"/>
      <c r="C734" s="37" t="n"/>
      <c r="D734" s="38">
        <f>IF(C734="","",IFERROR(INDEX(Anuncios!$B$6:$B$65,MATCH(C734,Anuncios!$A$6:$A$65,0)),"(no está en Anuncios)"))</f>
        <v/>
      </c>
      <c r="E734" s="39" t="n"/>
      <c r="F734" s="40" t="n"/>
      <c r="G734" s="40" t="n"/>
      <c r="H734" s="40" t="n"/>
      <c r="I734" s="39" t="n"/>
      <c r="J734" s="13">
        <f>IF(N(F734)&gt;0,G734/F734,"")</f>
        <v/>
      </c>
      <c r="K734" s="10">
        <f>IF(N(G734)&gt;0,E734/G734,"")</f>
        <v/>
      </c>
      <c r="L734" s="10">
        <f>IF(N(H734)&gt;0,E734/H734,"")</f>
        <v/>
      </c>
      <c r="M734" s="11">
        <f>IF(N(E734)&gt;0,I734/E734,"")</f>
        <v/>
      </c>
      <c r="N734" s="10">
        <f>IF(AND(E734="",I734=""),"",N(I734)*(1-COM-COM_SHOP)-N(E734)*(1+IMP_META))</f>
        <v/>
      </c>
      <c r="O734" s="37" t="n"/>
    </row>
    <row r="735">
      <c r="A735" s="36" t="n"/>
      <c r="B735" s="37" t="n"/>
      <c r="C735" s="37" t="n"/>
      <c r="D735" s="38">
        <f>IF(C735="","",IFERROR(INDEX(Anuncios!$B$6:$B$65,MATCH(C735,Anuncios!$A$6:$A$65,0)),"(no está en Anuncios)"))</f>
        <v/>
      </c>
      <c r="E735" s="39" t="n"/>
      <c r="F735" s="40" t="n"/>
      <c r="G735" s="40" t="n"/>
      <c r="H735" s="40" t="n"/>
      <c r="I735" s="39" t="n"/>
      <c r="J735" s="13">
        <f>IF(N(F735)&gt;0,G735/F735,"")</f>
        <v/>
      </c>
      <c r="K735" s="10">
        <f>IF(N(G735)&gt;0,E735/G735,"")</f>
        <v/>
      </c>
      <c r="L735" s="10">
        <f>IF(N(H735)&gt;0,E735/H735,"")</f>
        <v/>
      </c>
      <c r="M735" s="11">
        <f>IF(N(E735)&gt;0,I735/E735,"")</f>
        <v/>
      </c>
      <c r="N735" s="10">
        <f>IF(AND(E735="",I735=""),"",N(I735)*(1-COM-COM_SHOP)-N(E735)*(1+IMP_META))</f>
        <v/>
      </c>
      <c r="O735" s="37" t="n"/>
    </row>
    <row r="736">
      <c r="A736" s="36" t="n"/>
      <c r="B736" s="37" t="n"/>
      <c r="C736" s="37" t="n"/>
      <c r="D736" s="38">
        <f>IF(C736="","",IFERROR(INDEX(Anuncios!$B$6:$B$65,MATCH(C736,Anuncios!$A$6:$A$65,0)),"(no está en Anuncios)"))</f>
        <v/>
      </c>
      <c r="E736" s="39" t="n"/>
      <c r="F736" s="40" t="n"/>
      <c r="G736" s="40" t="n"/>
      <c r="H736" s="40" t="n"/>
      <c r="I736" s="39" t="n"/>
      <c r="J736" s="13">
        <f>IF(N(F736)&gt;0,G736/F736,"")</f>
        <v/>
      </c>
      <c r="K736" s="10">
        <f>IF(N(G736)&gt;0,E736/G736,"")</f>
        <v/>
      </c>
      <c r="L736" s="10">
        <f>IF(N(H736)&gt;0,E736/H736,"")</f>
        <v/>
      </c>
      <c r="M736" s="11">
        <f>IF(N(E736)&gt;0,I736/E736,"")</f>
        <v/>
      </c>
      <c r="N736" s="10">
        <f>IF(AND(E736="",I736=""),"",N(I736)*(1-COM-COM_SHOP)-N(E736)*(1+IMP_META))</f>
        <v/>
      </c>
      <c r="O736" s="37" t="n"/>
    </row>
    <row r="737">
      <c r="A737" s="36" t="n"/>
      <c r="B737" s="37" t="n"/>
      <c r="C737" s="37" t="n"/>
      <c r="D737" s="38">
        <f>IF(C737="","",IFERROR(INDEX(Anuncios!$B$6:$B$65,MATCH(C737,Anuncios!$A$6:$A$65,0)),"(no está en Anuncios)"))</f>
        <v/>
      </c>
      <c r="E737" s="39" t="n"/>
      <c r="F737" s="40" t="n"/>
      <c r="G737" s="40" t="n"/>
      <c r="H737" s="40" t="n"/>
      <c r="I737" s="39" t="n"/>
      <c r="J737" s="13">
        <f>IF(N(F737)&gt;0,G737/F737,"")</f>
        <v/>
      </c>
      <c r="K737" s="10">
        <f>IF(N(G737)&gt;0,E737/G737,"")</f>
        <v/>
      </c>
      <c r="L737" s="10">
        <f>IF(N(H737)&gt;0,E737/H737,"")</f>
        <v/>
      </c>
      <c r="M737" s="11">
        <f>IF(N(E737)&gt;0,I737/E737,"")</f>
        <v/>
      </c>
      <c r="N737" s="10">
        <f>IF(AND(E737="",I737=""),"",N(I737)*(1-COM-COM_SHOP)-N(E737)*(1+IMP_META))</f>
        <v/>
      </c>
      <c r="O737" s="37" t="n"/>
    </row>
    <row r="738">
      <c r="A738" s="36" t="n"/>
      <c r="B738" s="37" t="n"/>
      <c r="C738" s="37" t="n"/>
      <c r="D738" s="38">
        <f>IF(C738="","",IFERROR(INDEX(Anuncios!$B$6:$B$65,MATCH(C738,Anuncios!$A$6:$A$65,0)),"(no está en Anuncios)"))</f>
        <v/>
      </c>
      <c r="E738" s="39" t="n"/>
      <c r="F738" s="40" t="n"/>
      <c r="G738" s="40" t="n"/>
      <c r="H738" s="40" t="n"/>
      <c r="I738" s="39" t="n"/>
      <c r="J738" s="13">
        <f>IF(N(F738)&gt;0,G738/F738,"")</f>
        <v/>
      </c>
      <c r="K738" s="10">
        <f>IF(N(G738)&gt;0,E738/G738,"")</f>
        <v/>
      </c>
      <c r="L738" s="10">
        <f>IF(N(H738)&gt;0,E738/H738,"")</f>
        <v/>
      </c>
      <c r="M738" s="11">
        <f>IF(N(E738)&gt;0,I738/E738,"")</f>
        <v/>
      </c>
      <c r="N738" s="10">
        <f>IF(AND(E738="",I738=""),"",N(I738)*(1-COM-COM_SHOP)-N(E738)*(1+IMP_META))</f>
        <v/>
      </c>
      <c r="O738" s="37" t="n"/>
    </row>
    <row r="739">
      <c r="A739" s="36" t="n"/>
      <c r="B739" s="37" t="n"/>
      <c r="C739" s="37" t="n"/>
      <c r="D739" s="38">
        <f>IF(C739="","",IFERROR(INDEX(Anuncios!$B$6:$B$65,MATCH(C739,Anuncios!$A$6:$A$65,0)),"(no está en Anuncios)"))</f>
        <v/>
      </c>
      <c r="E739" s="39" t="n"/>
      <c r="F739" s="40" t="n"/>
      <c r="G739" s="40" t="n"/>
      <c r="H739" s="40" t="n"/>
      <c r="I739" s="39" t="n"/>
      <c r="J739" s="13">
        <f>IF(N(F739)&gt;0,G739/F739,"")</f>
        <v/>
      </c>
      <c r="K739" s="10">
        <f>IF(N(G739)&gt;0,E739/G739,"")</f>
        <v/>
      </c>
      <c r="L739" s="10">
        <f>IF(N(H739)&gt;0,E739/H739,"")</f>
        <v/>
      </c>
      <c r="M739" s="11">
        <f>IF(N(E739)&gt;0,I739/E739,"")</f>
        <v/>
      </c>
      <c r="N739" s="10">
        <f>IF(AND(E739="",I739=""),"",N(I739)*(1-COM-COM_SHOP)-N(E739)*(1+IMP_META))</f>
        <v/>
      </c>
      <c r="O739" s="37" t="n"/>
    </row>
    <row r="740">
      <c r="A740" s="36" t="n"/>
      <c r="B740" s="37" t="n"/>
      <c r="C740" s="37" t="n"/>
      <c r="D740" s="38">
        <f>IF(C740="","",IFERROR(INDEX(Anuncios!$B$6:$B$65,MATCH(C740,Anuncios!$A$6:$A$65,0)),"(no está en Anuncios)"))</f>
        <v/>
      </c>
      <c r="E740" s="39" t="n"/>
      <c r="F740" s="40" t="n"/>
      <c r="G740" s="40" t="n"/>
      <c r="H740" s="40" t="n"/>
      <c r="I740" s="39" t="n"/>
      <c r="J740" s="13">
        <f>IF(N(F740)&gt;0,G740/F740,"")</f>
        <v/>
      </c>
      <c r="K740" s="10">
        <f>IF(N(G740)&gt;0,E740/G740,"")</f>
        <v/>
      </c>
      <c r="L740" s="10">
        <f>IF(N(H740)&gt;0,E740/H740,"")</f>
        <v/>
      </c>
      <c r="M740" s="11">
        <f>IF(N(E740)&gt;0,I740/E740,"")</f>
        <v/>
      </c>
      <c r="N740" s="10">
        <f>IF(AND(E740="",I740=""),"",N(I740)*(1-COM-COM_SHOP)-N(E740)*(1+IMP_META))</f>
        <v/>
      </c>
      <c r="O740" s="37" t="n"/>
    </row>
    <row r="741">
      <c r="A741" s="36" t="n"/>
      <c r="B741" s="37" t="n"/>
      <c r="C741" s="37" t="n"/>
      <c r="D741" s="38">
        <f>IF(C741="","",IFERROR(INDEX(Anuncios!$B$6:$B$65,MATCH(C741,Anuncios!$A$6:$A$65,0)),"(no está en Anuncios)"))</f>
        <v/>
      </c>
      <c r="E741" s="39" t="n"/>
      <c r="F741" s="40" t="n"/>
      <c r="G741" s="40" t="n"/>
      <c r="H741" s="40" t="n"/>
      <c r="I741" s="39" t="n"/>
      <c r="J741" s="13">
        <f>IF(N(F741)&gt;0,G741/F741,"")</f>
        <v/>
      </c>
      <c r="K741" s="10">
        <f>IF(N(G741)&gt;0,E741/G741,"")</f>
        <v/>
      </c>
      <c r="L741" s="10">
        <f>IF(N(H741)&gt;0,E741/H741,"")</f>
        <v/>
      </c>
      <c r="M741" s="11">
        <f>IF(N(E741)&gt;0,I741/E741,"")</f>
        <v/>
      </c>
      <c r="N741" s="10">
        <f>IF(AND(E741="",I741=""),"",N(I741)*(1-COM-COM_SHOP)-N(E741)*(1+IMP_META))</f>
        <v/>
      </c>
      <c r="O741" s="37" t="n"/>
    </row>
    <row r="742">
      <c r="A742" s="36" t="n"/>
      <c r="B742" s="37" t="n"/>
      <c r="C742" s="37" t="n"/>
      <c r="D742" s="38">
        <f>IF(C742="","",IFERROR(INDEX(Anuncios!$B$6:$B$65,MATCH(C742,Anuncios!$A$6:$A$65,0)),"(no está en Anuncios)"))</f>
        <v/>
      </c>
      <c r="E742" s="39" t="n"/>
      <c r="F742" s="40" t="n"/>
      <c r="G742" s="40" t="n"/>
      <c r="H742" s="40" t="n"/>
      <c r="I742" s="39" t="n"/>
      <c r="J742" s="13">
        <f>IF(N(F742)&gt;0,G742/F742,"")</f>
        <v/>
      </c>
      <c r="K742" s="10">
        <f>IF(N(G742)&gt;0,E742/G742,"")</f>
        <v/>
      </c>
      <c r="L742" s="10">
        <f>IF(N(H742)&gt;0,E742/H742,"")</f>
        <v/>
      </c>
      <c r="M742" s="11">
        <f>IF(N(E742)&gt;0,I742/E742,"")</f>
        <v/>
      </c>
      <c r="N742" s="10">
        <f>IF(AND(E742="",I742=""),"",N(I742)*(1-COM-COM_SHOP)-N(E742)*(1+IMP_META))</f>
        <v/>
      </c>
      <c r="O742" s="37" t="n"/>
    </row>
    <row r="743">
      <c r="A743" s="36" t="n"/>
      <c r="B743" s="37" t="n"/>
      <c r="C743" s="37" t="n"/>
      <c r="D743" s="38">
        <f>IF(C743="","",IFERROR(INDEX(Anuncios!$B$6:$B$65,MATCH(C743,Anuncios!$A$6:$A$65,0)),"(no está en Anuncios)"))</f>
        <v/>
      </c>
      <c r="E743" s="39" t="n"/>
      <c r="F743" s="40" t="n"/>
      <c r="G743" s="40" t="n"/>
      <c r="H743" s="40" t="n"/>
      <c r="I743" s="39" t="n"/>
      <c r="J743" s="13">
        <f>IF(N(F743)&gt;0,G743/F743,"")</f>
        <v/>
      </c>
      <c r="K743" s="10">
        <f>IF(N(G743)&gt;0,E743/G743,"")</f>
        <v/>
      </c>
      <c r="L743" s="10">
        <f>IF(N(H743)&gt;0,E743/H743,"")</f>
        <v/>
      </c>
      <c r="M743" s="11">
        <f>IF(N(E743)&gt;0,I743/E743,"")</f>
        <v/>
      </c>
      <c r="N743" s="10">
        <f>IF(AND(E743="",I743=""),"",N(I743)*(1-COM-COM_SHOP)-N(E743)*(1+IMP_META))</f>
        <v/>
      </c>
      <c r="O743" s="37" t="n"/>
    </row>
    <row r="744">
      <c r="A744" s="36" t="n"/>
      <c r="B744" s="37" t="n"/>
      <c r="C744" s="37" t="n"/>
      <c r="D744" s="38">
        <f>IF(C744="","",IFERROR(INDEX(Anuncios!$B$6:$B$65,MATCH(C744,Anuncios!$A$6:$A$65,0)),"(no está en Anuncios)"))</f>
        <v/>
      </c>
      <c r="E744" s="39" t="n"/>
      <c r="F744" s="40" t="n"/>
      <c r="G744" s="40" t="n"/>
      <c r="H744" s="40" t="n"/>
      <c r="I744" s="39" t="n"/>
      <c r="J744" s="13">
        <f>IF(N(F744)&gt;0,G744/F744,"")</f>
        <v/>
      </c>
      <c r="K744" s="10">
        <f>IF(N(G744)&gt;0,E744/G744,"")</f>
        <v/>
      </c>
      <c r="L744" s="10">
        <f>IF(N(H744)&gt;0,E744/H744,"")</f>
        <v/>
      </c>
      <c r="M744" s="11">
        <f>IF(N(E744)&gt;0,I744/E744,"")</f>
        <v/>
      </c>
      <c r="N744" s="10">
        <f>IF(AND(E744="",I744=""),"",N(I744)*(1-COM-COM_SHOP)-N(E744)*(1+IMP_META))</f>
        <v/>
      </c>
      <c r="O744" s="37" t="n"/>
    </row>
    <row r="745">
      <c r="A745" s="36" t="n"/>
      <c r="B745" s="37" t="n"/>
      <c r="C745" s="37" t="n"/>
      <c r="D745" s="38">
        <f>IF(C745="","",IFERROR(INDEX(Anuncios!$B$6:$B$65,MATCH(C745,Anuncios!$A$6:$A$65,0)),"(no está en Anuncios)"))</f>
        <v/>
      </c>
      <c r="E745" s="39" t="n"/>
      <c r="F745" s="40" t="n"/>
      <c r="G745" s="40" t="n"/>
      <c r="H745" s="40" t="n"/>
      <c r="I745" s="39" t="n"/>
      <c r="J745" s="13">
        <f>IF(N(F745)&gt;0,G745/F745,"")</f>
        <v/>
      </c>
      <c r="K745" s="10">
        <f>IF(N(G745)&gt;0,E745/G745,"")</f>
        <v/>
      </c>
      <c r="L745" s="10">
        <f>IF(N(H745)&gt;0,E745/H745,"")</f>
        <v/>
      </c>
      <c r="M745" s="11">
        <f>IF(N(E745)&gt;0,I745/E745,"")</f>
        <v/>
      </c>
      <c r="N745" s="10">
        <f>IF(AND(E745="",I745=""),"",N(I745)*(1-COM-COM_SHOP)-N(E745)*(1+IMP_META))</f>
        <v/>
      </c>
      <c r="O745" s="37" t="n"/>
    </row>
    <row r="746">
      <c r="A746" s="36" t="n"/>
      <c r="B746" s="37" t="n"/>
      <c r="C746" s="37" t="n"/>
      <c r="D746" s="38">
        <f>IF(C746="","",IFERROR(INDEX(Anuncios!$B$6:$B$65,MATCH(C746,Anuncios!$A$6:$A$65,0)),"(no está en Anuncios)"))</f>
        <v/>
      </c>
      <c r="E746" s="39" t="n"/>
      <c r="F746" s="40" t="n"/>
      <c r="G746" s="40" t="n"/>
      <c r="H746" s="40" t="n"/>
      <c r="I746" s="39" t="n"/>
      <c r="J746" s="13">
        <f>IF(N(F746)&gt;0,G746/F746,"")</f>
        <v/>
      </c>
      <c r="K746" s="10">
        <f>IF(N(G746)&gt;0,E746/G746,"")</f>
        <v/>
      </c>
      <c r="L746" s="10">
        <f>IF(N(H746)&gt;0,E746/H746,"")</f>
        <v/>
      </c>
      <c r="M746" s="11">
        <f>IF(N(E746)&gt;0,I746/E746,"")</f>
        <v/>
      </c>
      <c r="N746" s="10">
        <f>IF(AND(E746="",I746=""),"",N(I746)*(1-COM-COM_SHOP)-N(E746)*(1+IMP_META))</f>
        <v/>
      </c>
      <c r="O746" s="37" t="n"/>
    </row>
    <row r="747">
      <c r="A747" s="36" t="n"/>
      <c r="B747" s="37" t="n"/>
      <c r="C747" s="37" t="n"/>
      <c r="D747" s="38">
        <f>IF(C747="","",IFERROR(INDEX(Anuncios!$B$6:$B$65,MATCH(C747,Anuncios!$A$6:$A$65,0)),"(no está en Anuncios)"))</f>
        <v/>
      </c>
      <c r="E747" s="39" t="n"/>
      <c r="F747" s="40" t="n"/>
      <c r="G747" s="40" t="n"/>
      <c r="H747" s="40" t="n"/>
      <c r="I747" s="39" t="n"/>
      <c r="J747" s="13">
        <f>IF(N(F747)&gt;0,G747/F747,"")</f>
        <v/>
      </c>
      <c r="K747" s="10">
        <f>IF(N(G747)&gt;0,E747/G747,"")</f>
        <v/>
      </c>
      <c r="L747" s="10">
        <f>IF(N(H747)&gt;0,E747/H747,"")</f>
        <v/>
      </c>
      <c r="M747" s="11">
        <f>IF(N(E747)&gt;0,I747/E747,"")</f>
        <v/>
      </c>
      <c r="N747" s="10">
        <f>IF(AND(E747="",I747=""),"",N(I747)*(1-COM-COM_SHOP)-N(E747)*(1+IMP_META))</f>
        <v/>
      </c>
      <c r="O747" s="37" t="n"/>
    </row>
    <row r="748">
      <c r="A748" s="36" t="n"/>
      <c r="B748" s="37" t="n"/>
      <c r="C748" s="37" t="n"/>
      <c r="D748" s="38">
        <f>IF(C748="","",IFERROR(INDEX(Anuncios!$B$6:$B$65,MATCH(C748,Anuncios!$A$6:$A$65,0)),"(no está en Anuncios)"))</f>
        <v/>
      </c>
      <c r="E748" s="39" t="n"/>
      <c r="F748" s="40" t="n"/>
      <c r="G748" s="40" t="n"/>
      <c r="H748" s="40" t="n"/>
      <c r="I748" s="39" t="n"/>
      <c r="J748" s="13">
        <f>IF(N(F748)&gt;0,G748/F748,"")</f>
        <v/>
      </c>
      <c r="K748" s="10">
        <f>IF(N(G748)&gt;0,E748/G748,"")</f>
        <v/>
      </c>
      <c r="L748" s="10">
        <f>IF(N(H748)&gt;0,E748/H748,"")</f>
        <v/>
      </c>
      <c r="M748" s="11">
        <f>IF(N(E748)&gt;0,I748/E748,"")</f>
        <v/>
      </c>
      <c r="N748" s="10">
        <f>IF(AND(E748="",I748=""),"",N(I748)*(1-COM-COM_SHOP)-N(E748)*(1+IMP_META))</f>
        <v/>
      </c>
      <c r="O748" s="37" t="n"/>
    </row>
    <row r="749">
      <c r="A749" s="36" t="n"/>
      <c r="B749" s="37" t="n"/>
      <c r="C749" s="37" t="n"/>
      <c r="D749" s="38">
        <f>IF(C749="","",IFERROR(INDEX(Anuncios!$B$6:$B$65,MATCH(C749,Anuncios!$A$6:$A$65,0)),"(no está en Anuncios)"))</f>
        <v/>
      </c>
      <c r="E749" s="39" t="n"/>
      <c r="F749" s="40" t="n"/>
      <c r="G749" s="40" t="n"/>
      <c r="H749" s="40" t="n"/>
      <c r="I749" s="39" t="n"/>
      <c r="J749" s="13">
        <f>IF(N(F749)&gt;0,G749/F749,"")</f>
        <v/>
      </c>
      <c r="K749" s="10">
        <f>IF(N(G749)&gt;0,E749/G749,"")</f>
        <v/>
      </c>
      <c r="L749" s="10">
        <f>IF(N(H749)&gt;0,E749/H749,"")</f>
        <v/>
      </c>
      <c r="M749" s="11">
        <f>IF(N(E749)&gt;0,I749/E749,"")</f>
        <v/>
      </c>
      <c r="N749" s="10">
        <f>IF(AND(E749="",I749=""),"",N(I749)*(1-COM-COM_SHOP)-N(E749)*(1+IMP_META))</f>
        <v/>
      </c>
      <c r="O749" s="37" t="n"/>
    </row>
    <row r="750">
      <c r="A750" s="36" t="n"/>
      <c r="B750" s="37" t="n"/>
      <c r="C750" s="37" t="n"/>
      <c r="D750" s="38">
        <f>IF(C750="","",IFERROR(INDEX(Anuncios!$B$6:$B$65,MATCH(C750,Anuncios!$A$6:$A$65,0)),"(no está en Anuncios)"))</f>
        <v/>
      </c>
      <c r="E750" s="39" t="n"/>
      <c r="F750" s="40" t="n"/>
      <c r="G750" s="40" t="n"/>
      <c r="H750" s="40" t="n"/>
      <c r="I750" s="39" t="n"/>
      <c r="J750" s="13">
        <f>IF(N(F750)&gt;0,G750/F750,"")</f>
        <v/>
      </c>
      <c r="K750" s="10">
        <f>IF(N(G750)&gt;0,E750/G750,"")</f>
        <v/>
      </c>
      <c r="L750" s="10">
        <f>IF(N(H750)&gt;0,E750/H750,"")</f>
        <v/>
      </c>
      <c r="M750" s="11">
        <f>IF(N(E750)&gt;0,I750/E750,"")</f>
        <v/>
      </c>
      <c r="N750" s="10">
        <f>IF(AND(E750="",I750=""),"",N(I750)*(1-COM-COM_SHOP)-N(E750)*(1+IMP_META))</f>
        <v/>
      </c>
      <c r="O750" s="37" t="n"/>
    </row>
    <row r="751">
      <c r="A751" s="36" t="n"/>
      <c r="B751" s="37" t="n"/>
      <c r="C751" s="37" t="n"/>
      <c r="D751" s="38">
        <f>IF(C751="","",IFERROR(INDEX(Anuncios!$B$6:$B$65,MATCH(C751,Anuncios!$A$6:$A$65,0)),"(no está en Anuncios)"))</f>
        <v/>
      </c>
      <c r="E751" s="39" t="n"/>
      <c r="F751" s="40" t="n"/>
      <c r="G751" s="40" t="n"/>
      <c r="H751" s="40" t="n"/>
      <c r="I751" s="39" t="n"/>
      <c r="J751" s="13">
        <f>IF(N(F751)&gt;0,G751/F751,"")</f>
        <v/>
      </c>
      <c r="K751" s="10">
        <f>IF(N(G751)&gt;0,E751/G751,"")</f>
        <v/>
      </c>
      <c r="L751" s="10">
        <f>IF(N(H751)&gt;0,E751/H751,"")</f>
        <v/>
      </c>
      <c r="M751" s="11">
        <f>IF(N(E751)&gt;0,I751/E751,"")</f>
        <v/>
      </c>
      <c r="N751" s="10">
        <f>IF(AND(E751="",I751=""),"",N(I751)*(1-COM-COM_SHOP)-N(E751)*(1+IMP_META))</f>
        <v/>
      </c>
      <c r="O751" s="37" t="n"/>
    </row>
    <row r="752">
      <c r="A752" s="36" t="n"/>
      <c r="B752" s="37" t="n"/>
      <c r="C752" s="37" t="n"/>
      <c r="D752" s="38">
        <f>IF(C752="","",IFERROR(INDEX(Anuncios!$B$6:$B$65,MATCH(C752,Anuncios!$A$6:$A$65,0)),"(no está en Anuncios)"))</f>
        <v/>
      </c>
      <c r="E752" s="39" t="n"/>
      <c r="F752" s="40" t="n"/>
      <c r="G752" s="40" t="n"/>
      <c r="H752" s="40" t="n"/>
      <c r="I752" s="39" t="n"/>
      <c r="J752" s="13">
        <f>IF(N(F752)&gt;0,G752/F752,"")</f>
        <v/>
      </c>
      <c r="K752" s="10">
        <f>IF(N(G752)&gt;0,E752/G752,"")</f>
        <v/>
      </c>
      <c r="L752" s="10">
        <f>IF(N(H752)&gt;0,E752/H752,"")</f>
        <v/>
      </c>
      <c r="M752" s="11">
        <f>IF(N(E752)&gt;0,I752/E752,"")</f>
        <v/>
      </c>
      <c r="N752" s="10">
        <f>IF(AND(E752="",I752=""),"",N(I752)*(1-COM-COM_SHOP)-N(E752)*(1+IMP_META))</f>
        <v/>
      </c>
      <c r="O752" s="37" t="n"/>
    </row>
    <row r="753">
      <c r="A753" s="36" t="n"/>
      <c r="B753" s="37" t="n"/>
      <c r="C753" s="37" t="n"/>
      <c r="D753" s="38">
        <f>IF(C753="","",IFERROR(INDEX(Anuncios!$B$6:$B$65,MATCH(C753,Anuncios!$A$6:$A$65,0)),"(no está en Anuncios)"))</f>
        <v/>
      </c>
      <c r="E753" s="39" t="n"/>
      <c r="F753" s="40" t="n"/>
      <c r="G753" s="40" t="n"/>
      <c r="H753" s="40" t="n"/>
      <c r="I753" s="39" t="n"/>
      <c r="J753" s="13">
        <f>IF(N(F753)&gt;0,G753/F753,"")</f>
        <v/>
      </c>
      <c r="K753" s="10">
        <f>IF(N(G753)&gt;0,E753/G753,"")</f>
        <v/>
      </c>
      <c r="L753" s="10">
        <f>IF(N(H753)&gt;0,E753/H753,"")</f>
        <v/>
      </c>
      <c r="M753" s="11">
        <f>IF(N(E753)&gt;0,I753/E753,"")</f>
        <v/>
      </c>
      <c r="N753" s="10">
        <f>IF(AND(E753="",I753=""),"",N(I753)*(1-COM-COM_SHOP)-N(E753)*(1+IMP_META))</f>
        <v/>
      </c>
      <c r="O753" s="37" t="n"/>
    </row>
    <row r="754">
      <c r="A754" s="36" t="n"/>
      <c r="B754" s="37" t="n"/>
      <c r="C754" s="37" t="n"/>
      <c r="D754" s="38">
        <f>IF(C754="","",IFERROR(INDEX(Anuncios!$B$6:$B$65,MATCH(C754,Anuncios!$A$6:$A$65,0)),"(no está en Anuncios)"))</f>
        <v/>
      </c>
      <c r="E754" s="39" t="n"/>
      <c r="F754" s="40" t="n"/>
      <c r="G754" s="40" t="n"/>
      <c r="H754" s="40" t="n"/>
      <c r="I754" s="39" t="n"/>
      <c r="J754" s="13">
        <f>IF(N(F754)&gt;0,G754/F754,"")</f>
        <v/>
      </c>
      <c r="K754" s="10">
        <f>IF(N(G754)&gt;0,E754/G754,"")</f>
        <v/>
      </c>
      <c r="L754" s="10">
        <f>IF(N(H754)&gt;0,E754/H754,"")</f>
        <v/>
      </c>
      <c r="M754" s="11">
        <f>IF(N(E754)&gt;0,I754/E754,"")</f>
        <v/>
      </c>
      <c r="N754" s="10">
        <f>IF(AND(E754="",I754=""),"",N(I754)*(1-COM-COM_SHOP)-N(E754)*(1+IMP_META))</f>
        <v/>
      </c>
      <c r="O754" s="37" t="n"/>
    </row>
    <row r="755">
      <c r="A755" s="36" t="n"/>
      <c r="B755" s="37" t="n"/>
      <c r="C755" s="37" t="n"/>
      <c r="D755" s="38">
        <f>IF(C755="","",IFERROR(INDEX(Anuncios!$B$6:$B$65,MATCH(C755,Anuncios!$A$6:$A$65,0)),"(no está en Anuncios)"))</f>
        <v/>
      </c>
      <c r="E755" s="39" t="n"/>
      <c r="F755" s="40" t="n"/>
      <c r="G755" s="40" t="n"/>
      <c r="H755" s="40" t="n"/>
      <c r="I755" s="39" t="n"/>
      <c r="J755" s="13">
        <f>IF(N(F755)&gt;0,G755/F755,"")</f>
        <v/>
      </c>
      <c r="K755" s="10">
        <f>IF(N(G755)&gt;0,E755/G755,"")</f>
        <v/>
      </c>
      <c r="L755" s="10">
        <f>IF(N(H755)&gt;0,E755/H755,"")</f>
        <v/>
      </c>
      <c r="M755" s="11">
        <f>IF(N(E755)&gt;0,I755/E755,"")</f>
        <v/>
      </c>
      <c r="N755" s="10">
        <f>IF(AND(E755="",I755=""),"",N(I755)*(1-COM-COM_SHOP)-N(E755)*(1+IMP_META))</f>
        <v/>
      </c>
      <c r="O755" s="37" t="n"/>
    </row>
    <row r="756">
      <c r="A756" s="36" t="n"/>
      <c r="B756" s="37" t="n"/>
      <c r="C756" s="37" t="n"/>
      <c r="D756" s="38">
        <f>IF(C756="","",IFERROR(INDEX(Anuncios!$B$6:$B$65,MATCH(C756,Anuncios!$A$6:$A$65,0)),"(no está en Anuncios)"))</f>
        <v/>
      </c>
      <c r="E756" s="39" t="n"/>
      <c r="F756" s="40" t="n"/>
      <c r="G756" s="40" t="n"/>
      <c r="H756" s="40" t="n"/>
      <c r="I756" s="39" t="n"/>
      <c r="J756" s="13">
        <f>IF(N(F756)&gt;0,G756/F756,"")</f>
        <v/>
      </c>
      <c r="K756" s="10">
        <f>IF(N(G756)&gt;0,E756/G756,"")</f>
        <v/>
      </c>
      <c r="L756" s="10">
        <f>IF(N(H756)&gt;0,E756/H756,"")</f>
        <v/>
      </c>
      <c r="M756" s="11">
        <f>IF(N(E756)&gt;0,I756/E756,"")</f>
        <v/>
      </c>
      <c r="N756" s="10">
        <f>IF(AND(E756="",I756=""),"",N(I756)*(1-COM-COM_SHOP)-N(E756)*(1+IMP_META))</f>
        <v/>
      </c>
      <c r="O756" s="37" t="n"/>
    </row>
    <row r="757">
      <c r="A757" s="36" t="n"/>
      <c r="B757" s="37" t="n"/>
      <c r="C757" s="37" t="n"/>
      <c r="D757" s="38">
        <f>IF(C757="","",IFERROR(INDEX(Anuncios!$B$6:$B$65,MATCH(C757,Anuncios!$A$6:$A$65,0)),"(no está en Anuncios)"))</f>
        <v/>
      </c>
      <c r="E757" s="39" t="n"/>
      <c r="F757" s="40" t="n"/>
      <c r="G757" s="40" t="n"/>
      <c r="H757" s="40" t="n"/>
      <c r="I757" s="39" t="n"/>
      <c r="J757" s="13">
        <f>IF(N(F757)&gt;0,G757/F757,"")</f>
        <v/>
      </c>
      <c r="K757" s="10">
        <f>IF(N(G757)&gt;0,E757/G757,"")</f>
        <v/>
      </c>
      <c r="L757" s="10">
        <f>IF(N(H757)&gt;0,E757/H757,"")</f>
        <v/>
      </c>
      <c r="M757" s="11">
        <f>IF(N(E757)&gt;0,I757/E757,"")</f>
        <v/>
      </c>
      <c r="N757" s="10">
        <f>IF(AND(E757="",I757=""),"",N(I757)*(1-COM-COM_SHOP)-N(E757)*(1+IMP_META))</f>
        <v/>
      </c>
      <c r="O757" s="37" t="n"/>
    </row>
    <row r="758">
      <c r="A758" s="36" t="n"/>
      <c r="B758" s="37" t="n"/>
      <c r="C758" s="37" t="n"/>
      <c r="D758" s="38">
        <f>IF(C758="","",IFERROR(INDEX(Anuncios!$B$6:$B$65,MATCH(C758,Anuncios!$A$6:$A$65,0)),"(no está en Anuncios)"))</f>
        <v/>
      </c>
      <c r="E758" s="39" t="n"/>
      <c r="F758" s="40" t="n"/>
      <c r="G758" s="40" t="n"/>
      <c r="H758" s="40" t="n"/>
      <c r="I758" s="39" t="n"/>
      <c r="J758" s="13">
        <f>IF(N(F758)&gt;0,G758/F758,"")</f>
        <v/>
      </c>
      <c r="K758" s="10">
        <f>IF(N(G758)&gt;0,E758/G758,"")</f>
        <v/>
      </c>
      <c r="L758" s="10">
        <f>IF(N(H758)&gt;0,E758/H758,"")</f>
        <v/>
      </c>
      <c r="M758" s="11">
        <f>IF(N(E758)&gt;0,I758/E758,"")</f>
        <v/>
      </c>
      <c r="N758" s="10">
        <f>IF(AND(E758="",I758=""),"",N(I758)*(1-COM-COM_SHOP)-N(E758)*(1+IMP_META))</f>
        <v/>
      </c>
      <c r="O758" s="37" t="n"/>
    </row>
    <row r="759">
      <c r="A759" s="36" t="n"/>
      <c r="B759" s="37" t="n"/>
      <c r="C759" s="37" t="n"/>
      <c r="D759" s="38">
        <f>IF(C759="","",IFERROR(INDEX(Anuncios!$B$6:$B$65,MATCH(C759,Anuncios!$A$6:$A$65,0)),"(no está en Anuncios)"))</f>
        <v/>
      </c>
      <c r="E759" s="39" t="n"/>
      <c r="F759" s="40" t="n"/>
      <c r="G759" s="40" t="n"/>
      <c r="H759" s="40" t="n"/>
      <c r="I759" s="39" t="n"/>
      <c r="J759" s="13">
        <f>IF(N(F759)&gt;0,G759/F759,"")</f>
        <v/>
      </c>
      <c r="K759" s="10">
        <f>IF(N(G759)&gt;0,E759/G759,"")</f>
        <v/>
      </c>
      <c r="L759" s="10">
        <f>IF(N(H759)&gt;0,E759/H759,"")</f>
        <v/>
      </c>
      <c r="M759" s="11">
        <f>IF(N(E759)&gt;0,I759/E759,"")</f>
        <v/>
      </c>
      <c r="N759" s="10">
        <f>IF(AND(E759="",I759=""),"",N(I759)*(1-COM-COM_SHOP)-N(E759)*(1+IMP_META))</f>
        <v/>
      </c>
      <c r="O759" s="37" t="n"/>
    </row>
    <row r="760">
      <c r="A760" s="36" t="n"/>
      <c r="B760" s="37" t="n"/>
      <c r="C760" s="37" t="n"/>
      <c r="D760" s="38">
        <f>IF(C760="","",IFERROR(INDEX(Anuncios!$B$6:$B$65,MATCH(C760,Anuncios!$A$6:$A$65,0)),"(no está en Anuncios)"))</f>
        <v/>
      </c>
      <c r="E760" s="39" t="n"/>
      <c r="F760" s="40" t="n"/>
      <c r="G760" s="40" t="n"/>
      <c r="H760" s="40" t="n"/>
      <c r="I760" s="39" t="n"/>
      <c r="J760" s="13">
        <f>IF(N(F760)&gt;0,G760/F760,"")</f>
        <v/>
      </c>
      <c r="K760" s="10">
        <f>IF(N(G760)&gt;0,E760/G760,"")</f>
        <v/>
      </c>
      <c r="L760" s="10">
        <f>IF(N(H760)&gt;0,E760/H760,"")</f>
        <v/>
      </c>
      <c r="M760" s="11">
        <f>IF(N(E760)&gt;0,I760/E760,"")</f>
        <v/>
      </c>
      <c r="N760" s="10">
        <f>IF(AND(E760="",I760=""),"",N(I760)*(1-COM-COM_SHOP)-N(E760)*(1+IMP_META))</f>
        <v/>
      </c>
      <c r="O760" s="37" t="n"/>
    </row>
    <row r="761">
      <c r="A761" s="36" t="n"/>
      <c r="B761" s="37" t="n"/>
      <c r="C761" s="37" t="n"/>
      <c r="D761" s="38">
        <f>IF(C761="","",IFERROR(INDEX(Anuncios!$B$6:$B$65,MATCH(C761,Anuncios!$A$6:$A$65,0)),"(no está en Anuncios)"))</f>
        <v/>
      </c>
      <c r="E761" s="39" t="n"/>
      <c r="F761" s="40" t="n"/>
      <c r="G761" s="40" t="n"/>
      <c r="H761" s="40" t="n"/>
      <c r="I761" s="39" t="n"/>
      <c r="J761" s="13">
        <f>IF(N(F761)&gt;0,G761/F761,"")</f>
        <v/>
      </c>
      <c r="K761" s="10">
        <f>IF(N(G761)&gt;0,E761/G761,"")</f>
        <v/>
      </c>
      <c r="L761" s="10">
        <f>IF(N(H761)&gt;0,E761/H761,"")</f>
        <v/>
      </c>
      <c r="M761" s="11">
        <f>IF(N(E761)&gt;0,I761/E761,"")</f>
        <v/>
      </c>
      <c r="N761" s="10">
        <f>IF(AND(E761="",I761=""),"",N(I761)*(1-COM-COM_SHOP)-N(E761)*(1+IMP_META))</f>
        <v/>
      </c>
      <c r="O761" s="37" t="n"/>
    </row>
    <row r="762">
      <c r="A762" s="36" t="n"/>
      <c r="B762" s="37" t="n"/>
      <c r="C762" s="37" t="n"/>
      <c r="D762" s="38">
        <f>IF(C762="","",IFERROR(INDEX(Anuncios!$B$6:$B$65,MATCH(C762,Anuncios!$A$6:$A$65,0)),"(no está en Anuncios)"))</f>
        <v/>
      </c>
      <c r="E762" s="39" t="n"/>
      <c r="F762" s="40" t="n"/>
      <c r="G762" s="40" t="n"/>
      <c r="H762" s="40" t="n"/>
      <c r="I762" s="39" t="n"/>
      <c r="J762" s="13">
        <f>IF(N(F762)&gt;0,G762/F762,"")</f>
        <v/>
      </c>
      <c r="K762" s="10">
        <f>IF(N(G762)&gt;0,E762/G762,"")</f>
        <v/>
      </c>
      <c r="L762" s="10">
        <f>IF(N(H762)&gt;0,E762/H762,"")</f>
        <v/>
      </c>
      <c r="M762" s="11">
        <f>IF(N(E762)&gt;0,I762/E762,"")</f>
        <v/>
      </c>
      <c r="N762" s="10">
        <f>IF(AND(E762="",I762=""),"",N(I762)*(1-COM-COM_SHOP)-N(E762)*(1+IMP_META))</f>
        <v/>
      </c>
      <c r="O762" s="37" t="n"/>
    </row>
    <row r="763">
      <c r="A763" s="36" t="n"/>
      <c r="B763" s="37" t="n"/>
      <c r="C763" s="37" t="n"/>
      <c r="D763" s="38">
        <f>IF(C763="","",IFERROR(INDEX(Anuncios!$B$6:$B$65,MATCH(C763,Anuncios!$A$6:$A$65,0)),"(no está en Anuncios)"))</f>
        <v/>
      </c>
      <c r="E763" s="39" t="n"/>
      <c r="F763" s="40" t="n"/>
      <c r="G763" s="40" t="n"/>
      <c r="H763" s="40" t="n"/>
      <c r="I763" s="39" t="n"/>
      <c r="J763" s="13">
        <f>IF(N(F763)&gt;0,G763/F763,"")</f>
        <v/>
      </c>
      <c r="K763" s="10">
        <f>IF(N(G763)&gt;0,E763/G763,"")</f>
        <v/>
      </c>
      <c r="L763" s="10">
        <f>IF(N(H763)&gt;0,E763/H763,"")</f>
        <v/>
      </c>
      <c r="M763" s="11">
        <f>IF(N(E763)&gt;0,I763/E763,"")</f>
        <v/>
      </c>
      <c r="N763" s="10">
        <f>IF(AND(E763="",I763=""),"",N(I763)*(1-COM-COM_SHOP)-N(E763)*(1+IMP_META))</f>
        <v/>
      </c>
      <c r="O763" s="37" t="n"/>
    </row>
    <row r="764">
      <c r="A764" s="36" t="n"/>
      <c r="B764" s="37" t="n"/>
      <c r="C764" s="37" t="n"/>
      <c r="D764" s="38">
        <f>IF(C764="","",IFERROR(INDEX(Anuncios!$B$6:$B$65,MATCH(C764,Anuncios!$A$6:$A$65,0)),"(no está en Anuncios)"))</f>
        <v/>
      </c>
      <c r="E764" s="39" t="n"/>
      <c r="F764" s="40" t="n"/>
      <c r="G764" s="40" t="n"/>
      <c r="H764" s="40" t="n"/>
      <c r="I764" s="39" t="n"/>
      <c r="J764" s="13">
        <f>IF(N(F764)&gt;0,G764/F764,"")</f>
        <v/>
      </c>
      <c r="K764" s="10">
        <f>IF(N(G764)&gt;0,E764/G764,"")</f>
        <v/>
      </c>
      <c r="L764" s="10">
        <f>IF(N(H764)&gt;0,E764/H764,"")</f>
        <v/>
      </c>
      <c r="M764" s="11">
        <f>IF(N(E764)&gt;0,I764/E764,"")</f>
        <v/>
      </c>
      <c r="N764" s="10">
        <f>IF(AND(E764="",I764=""),"",N(I764)*(1-COM-COM_SHOP)-N(E764)*(1+IMP_META))</f>
        <v/>
      </c>
      <c r="O764" s="37" t="n"/>
    </row>
    <row r="765">
      <c r="A765" s="36" t="n"/>
      <c r="B765" s="37" t="n"/>
      <c r="C765" s="37" t="n"/>
      <c r="D765" s="38">
        <f>IF(C765="","",IFERROR(INDEX(Anuncios!$B$6:$B$65,MATCH(C765,Anuncios!$A$6:$A$65,0)),"(no está en Anuncios)"))</f>
        <v/>
      </c>
      <c r="E765" s="39" t="n"/>
      <c r="F765" s="40" t="n"/>
      <c r="G765" s="40" t="n"/>
      <c r="H765" s="40" t="n"/>
      <c r="I765" s="39" t="n"/>
      <c r="J765" s="13">
        <f>IF(N(F765)&gt;0,G765/F765,"")</f>
        <v/>
      </c>
      <c r="K765" s="10">
        <f>IF(N(G765)&gt;0,E765/G765,"")</f>
        <v/>
      </c>
      <c r="L765" s="10">
        <f>IF(N(H765)&gt;0,E765/H765,"")</f>
        <v/>
      </c>
      <c r="M765" s="11">
        <f>IF(N(E765)&gt;0,I765/E765,"")</f>
        <v/>
      </c>
      <c r="N765" s="10">
        <f>IF(AND(E765="",I765=""),"",N(I765)*(1-COM-COM_SHOP)-N(E765)*(1+IMP_META))</f>
        <v/>
      </c>
      <c r="O765" s="37" t="n"/>
    </row>
    <row r="766">
      <c r="A766" s="36" t="n"/>
      <c r="B766" s="37" t="n"/>
      <c r="C766" s="37" t="n"/>
      <c r="D766" s="38">
        <f>IF(C766="","",IFERROR(INDEX(Anuncios!$B$6:$B$65,MATCH(C766,Anuncios!$A$6:$A$65,0)),"(no está en Anuncios)"))</f>
        <v/>
      </c>
      <c r="E766" s="39" t="n"/>
      <c r="F766" s="40" t="n"/>
      <c r="G766" s="40" t="n"/>
      <c r="H766" s="40" t="n"/>
      <c r="I766" s="39" t="n"/>
      <c r="J766" s="13">
        <f>IF(N(F766)&gt;0,G766/F766,"")</f>
        <v/>
      </c>
      <c r="K766" s="10">
        <f>IF(N(G766)&gt;0,E766/G766,"")</f>
        <v/>
      </c>
      <c r="L766" s="10">
        <f>IF(N(H766)&gt;0,E766/H766,"")</f>
        <v/>
      </c>
      <c r="M766" s="11">
        <f>IF(N(E766)&gt;0,I766/E766,"")</f>
        <v/>
      </c>
      <c r="N766" s="10">
        <f>IF(AND(E766="",I766=""),"",N(I766)*(1-COM-COM_SHOP)-N(E766)*(1+IMP_META))</f>
        <v/>
      </c>
      <c r="O766" s="37" t="n"/>
    </row>
    <row r="767">
      <c r="A767" s="36" t="n"/>
      <c r="B767" s="37" t="n"/>
      <c r="C767" s="37" t="n"/>
      <c r="D767" s="38">
        <f>IF(C767="","",IFERROR(INDEX(Anuncios!$B$6:$B$65,MATCH(C767,Anuncios!$A$6:$A$65,0)),"(no está en Anuncios)"))</f>
        <v/>
      </c>
      <c r="E767" s="39" t="n"/>
      <c r="F767" s="40" t="n"/>
      <c r="G767" s="40" t="n"/>
      <c r="H767" s="40" t="n"/>
      <c r="I767" s="39" t="n"/>
      <c r="J767" s="13">
        <f>IF(N(F767)&gt;0,G767/F767,"")</f>
        <v/>
      </c>
      <c r="K767" s="10">
        <f>IF(N(G767)&gt;0,E767/G767,"")</f>
        <v/>
      </c>
      <c r="L767" s="10">
        <f>IF(N(H767)&gt;0,E767/H767,"")</f>
        <v/>
      </c>
      <c r="M767" s="11">
        <f>IF(N(E767)&gt;0,I767/E767,"")</f>
        <v/>
      </c>
      <c r="N767" s="10">
        <f>IF(AND(E767="",I767=""),"",N(I767)*(1-COM-COM_SHOP)-N(E767)*(1+IMP_META))</f>
        <v/>
      </c>
      <c r="O767" s="37" t="n"/>
    </row>
    <row r="768">
      <c r="A768" s="36" t="n"/>
      <c r="B768" s="37" t="n"/>
      <c r="C768" s="37" t="n"/>
      <c r="D768" s="38">
        <f>IF(C768="","",IFERROR(INDEX(Anuncios!$B$6:$B$65,MATCH(C768,Anuncios!$A$6:$A$65,0)),"(no está en Anuncios)"))</f>
        <v/>
      </c>
      <c r="E768" s="39" t="n"/>
      <c r="F768" s="40" t="n"/>
      <c r="G768" s="40" t="n"/>
      <c r="H768" s="40" t="n"/>
      <c r="I768" s="39" t="n"/>
      <c r="J768" s="13">
        <f>IF(N(F768)&gt;0,G768/F768,"")</f>
        <v/>
      </c>
      <c r="K768" s="10">
        <f>IF(N(G768)&gt;0,E768/G768,"")</f>
        <v/>
      </c>
      <c r="L768" s="10">
        <f>IF(N(H768)&gt;0,E768/H768,"")</f>
        <v/>
      </c>
      <c r="M768" s="11">
        <f>IF(N(E768)&gt;0,I768/E768,"")</f>
        <v/>
      </c>
      <c r="N768" s="10">
        <f>IF(AND(E768="",I768=""),"",N(I768)*(1-COM-COM_SHOP)-N(E768)*(1+IMP_META))</f>
        <v/>
      </c>
      <c r="O768" s="37" t="n"/>
    </row>
    <row r="769">
      <c r="A769" s="36" t="n"/>
      <c r="B769" s="37" t="n"/>
      <c r="C769" s="37" t="n"/>
      <c r="D769" s="38">
        <f>IF(C769="","",IFERROR(INDEX(Anuncios!$B$6:$B$65,MATCH(C769,Anuncios!$A$6:$A$65,0)),"(no está en Anuncios)"))</f>
        <v/>
      </c>
      <c r="E769" s="39" t="n"/>
      <c r="F769" s="40" t="n"/>
      <c r="G769" s="40" t="n"/>
      <c r="H769" s="40" t="n"/>
      <c r="I769" s="39" t="n"/>
      <c r="J769" s="13">
        <f>IF(N(F769)&gt;0,G769/F769,"")</f>
        <v/>
      </c>
      <c r="K769" s="10">
        <f>IF(N(G769)&gt;0,E769/G769,"")</f>
        <v/>
      </c>
      <c r="L769" s="10">
        <f>IF(N(H769)&gt;0,E769/H769,"")</f>
        <v/>
      </c>
      <c r="M769" s="11">
        <f>IF(N(E769)&gt;0,I769/E769,"")</f>
        <v/>
      </c>
      <c r="N769" s="10">
        <f>IF(AND(E769="",I769=""),"",N(I769)*(1-COM-COM_SHOP)-N(E769)*(1+IMP_META))</f>
        <v/>
      </c>
      <c r="O769" s="37" t="n"/>
    </row>
    <row r="770">
      <c r="A770" s="36" t="n"/>
      <c r="B770" s="37" t="n"/>
      <c r="C770" s="37" t="n"/>
      <c r="D770" s="38">
        <f>IF(C770="","",IFERROR(INDEX(Anuncios!$B$6:$B$65,MATCH(C770,Anuncios!$A$6:$A$65,0)),"(no está en Anuncios)"))</f>
        <v/>
      </c>
      <c r="E770" s="39" t="n"/>
      <c r="F770" s="40" t="n"/>
      <c r="G770" s="40" t="n"/>
      <c r="H770" s="40" t="n"/>
      <c r="I770" s="39" t="n"/>
      <c r="J770" s="13">
        <f>IF(N(F770)&gt;0,G770/F770,"")</f>
        <v/>
      </c>
      <c r="K770" s="10">
        <f>IF(N(G770)&gt;0,E770/G770,"")</f>
        <v/>
      </c>
      <c r="L770" s="10">
        <f>IF(N(H770)&gt;0,E770/H770,"")</f>
        <v/>
      </c>
      <c r="M770" s="11">
        <f>IF(N(E770)&gt;0,I770/E770,"")</f>
        <v/>
      </c>
      <c r="N770" s="10">
        <f>IF(AND(E770="",I770=""),"",N(I770)*(1-COM-COM_SHOP)-N(E770)*(1+IMP_META))</f>
        <v/>
      </c>
      <c r="O770" s="37" t="n"/>
    </row>
    <row r="771">
      <c r="A771" s="36" t="n"/>
      <c r="B771" s="37" t="n"/>
      <c r="C771" s="37" t="n"/>
      <c r="D771" s="38">
        <f>IF(C771="","",IFERROR(INDEX(Anuncios!$B$6:$B$65,MATCH(C771,Anuncios!$A$6:$A$65,0)),"(no está en Anuncios)"))</f>
        <v/>
      </c>
      <c r="E771" s="39" t="n"/>
      <c r="F771" s="40" t="n"/>
      <c r="G771" s="40" t="n"/>
      <c r="H771" s="40" t="n"/>
      <c r="I771" s="39" t="n"/>
      <c r="J771" s="13">
        <f>IF(N(F771)&gt;0,G771/F771,"")</f>
        <v/>
      </c>
      <c r="K771" s="10">
        <f>IF(N(G771)&gt;0,E771/G771,"")</f>
        <v/>
      </c>
      <c r="L771" s="10">
        <f>IF(N(H771)&gt;0,E771/H771,"")</f>
        <v/>
      </c>
      <c r="M771" s="11">
        <f>IF(N(E771)&gt;0,I771/E771,"")</f>
        <v/>
      </c>
      <c r="N771" s="10">
        <f>IF(AND(E771="",I771=""),"",N(I771)*(1-COM-COM_SHOP)-N(E771)*(1+IMP_META))</f>
        <v/>
      </c>
      <c r="O771" s="37" t="n"/>
    </row>
    <row r="772">
      <c r="A772" s="36" t="n"/>
      <c r="B772" s="37" t="n"/>
      <c r="C772" s="37" t="n"/>
      <c r="D772" s="38">
        <f>IF(C772="","",IFERROR(INDEX(Anuncios!$B$6:$B$65,MATCH(C772,Anuncios!$A$6:$A$65,0)),"(no está en Anuncios)"))</f>
        <v/>
      </c>
      <c r="E772" s="39" t="n"/>
      <c r="F772" s="40" t="n"/>
      <c r="G772" s="40" t="n"/>
      <c r="H772" s="40" t="n"/>
      <c r="I772" s="39" t="n"/>
      <c r="J772" s="13">
        <f>IF(N(F772)&gt;0,G772/F772,"")</f>
        <v/>
      </c>
      <c r="K772" s="10">
        <f>IF(N(G772)&gt;0,E772/G772,"")</f>
        <v/>
      </c>
      <c r="L772" s="10">
        <f>IF(N(H772)&gt;0,E772/H772,"")</f>
        <v/>
      </c>
      <c r="M772" s="11">
        <f>IF(N(E772)&gt;0,I772/E772,"")</f>
        <v/>
      </c>
      <c r="N772" s="10">
        <f>IF(AND(E772="",I772=""),"",N(I772)*(1-COM-COM_SHOP)-N(E772)*(1+IMP_META))</f>
        <v/>
      </c>
      <c r="O772" s="37" t="n"/>
    </row>
    <row r="773">
      <c r="A773" s="36" t="n"/>
      <c r="B773" s="37" t="n"/>
      <c r="C773" s="37" t="n"/>
      <c r="D773" s="38">
        <f>IF(C773="","",IFERROR(INDEX(Anuncios!$B$6:$B$65,MATCH(C773,Anuncios!$A$6:$A$65,0)),"(no está en Anuncios)"))</f>
        <v/>
      </c>
      <c r="E773" s="39" t="n"/>
      <c r="F773" s="40" t="n"/>
      <c r="G773" s="40" t="n"/>
      <c r="H773" s="40" t="n"/>
      <c r="I773" s="39" t="n"/>
      <c r="J773" s="13">
        <f>IF(N(F773)&gt;0,G773/F773,"")</f>
        <v/>
      </c>
      <c r="K773" s="10">
        <f>IF(N(G773)&gt;0,E773/G773,"")</f>
        <v/>
      </c>
      <c r="L773" s="10">
        <f>IF(N(H773)&gt;0,E773/H773,"")</f>
        <v/>
      </c>
      <c r="M773" s="11">
        <f>IF(N(E773)&gt;0,I773/E773,"")</f>
        <v/>
      </c>
      <c r="N773" s="10">
        <f>IF(AND(E773="",I773=""),"",N(I773)*(1-COM-COM_SHOP)-N(E773)*(1+IMP_META))</f>
        <v/>
      </c>
      <c r="O773" s="37" t="n"/>
    </row>
    <row r="774">
      <c r="A774" s="36" t="n"/>
      <c r="B774" s="37" t="n"/>
      <c r="C774" s="37" t="n"/>
      <c r="D774" s="38">
        <f>IF(C774="","",IFERROR(INDEX(Anuncios!$B$6:$B$65,MATCH(C774,Anuncios!$A$6:$A$65,0)),"(no está en Anuncios)"))</f>
        <v/>
      </c>
      <c r="E774" s="39" t="n"/>
      <c r="F774" s="40" t="n"/>
      <c r="G774" s="40" t="n"/>
      <c r="H774" s="40" t="n"/>
      <c r="I774" s="39" t="n"/>
      <c r="J774" s="13">
        <f>IF(N(F774)&gt;0,G774/F774,"")</f>
        <v/>
      </c>
      <c r="K774" s="10">
        <f>IF(N(G774)&gt;0,E774/G774,"")</f>
        <v/>
      </c>
      <c r="L774" s="10">
        <f>IF(N(H774)&gt;0,E774/H774,"")</f>
        <v/>
      </c>
      <c r="M774" s="11">
        <f>IF(N(E774)&gt;0,I774/E774,"")</f>
        <v/>
      </c>
      <c r="N774" s="10">
        <f>IF(AND(E774="",I774=""),"",N(I774)*(1-COM-COM_SHOP)-N(E774)*(1+IMP_META))</f>
        <v/>
      </c>
      <c r="O774" s="37" t="n"/>
    </row>
    <row r="775">
      <c r="A775" s="36" t="n"/>
      <c r="B775" s="37" t="n"/>
      <c r="C775" s="37" t="n"/>
      <c r="D775" s="38">
        <f>IF(C775="","",IFERROR(INDEX(Anuncios!$B$6:$B$65,MATCH(C775,Anuncios!$A$6:$A$65,0)),"(no está en Anuncios)"))</f>
        <v/>
      </c>
      <c r="E775" s="39" t="n"/>
      <c r="F775" s="40" t="n"/>
      <c r="G775" s="40" t="n"/>
      <c r="H775" s="40" t="n"/>
      <c r="I775" s="39" t="n"/>
      <c r="J775" s="13">
        <f>IF(N(F775)&gt;0,G775/F775,"")</f>
        <v/>
      </c>
      <c r="K775" s="10">
        <f>IF(N(G775)&gt;0,E775/G775,"")</f>
        <v/>
      </c>
      <c r="L775" s="10">
        <f>IF(N(H775)&gt;0,E775/H775,"")</f>
        <v/>
      </c>
      <c r="M775" s="11">
        <f>IF(N(E775)&gt;0,I775/E775,"")</f>
        <v/>
      </c>
      <c r="N775" s="10">
        <f>IF(AND(E775="",I775=""),"",N(I775)*(1-COM-COM_SHOP)-N(E775)*(1+IMP_META))</f>
        <v/>
      </c>
      <c r="O775" s="37" t="n"/>
    </row>
    <row r="776">
      <c r="A776" s="36" t="n"/>
      <c r="B776" s="37" t="n"/>
      <c r="C776" s="37" t="n"/>
      <c r="D776" s="38">
        <f>IF(C776="","",IFERROR(INDEX(Anuncios!$B$6:$B$65,MATCH(C776,Anuncios!$A$6:$A$65,0)),"(no está en Anuncios)"))</f>
        <v/>
      </c>
      <c r="E776" s="39" t="n"/>
      <c r="F776" s="40" t="n"/>
      <c r="G776" s="40" t="n"/>
      <c r="H776" s="40" t="n"/>
      <c r="I776" s="39" t="n"/>
      <c r="J776" s="13">
        <f>IF(N(F776)&gt;0,G776/F776,"")</f>
        <v/>
      </c>
      <c r="K776" s="10">
        <f>IF(N(G776)&gt;0,E776/G776,"")</f>
        <v/>
      </c>
      <c r="L776" s="10">
        <f>IF(N(H776)&gt;0,E776/H776,"")</f>
        <v/>
      </c>
      <c r="M776" s="11">
        <f>IF(N(E776)&gt;0,I776/E776,"")</f>
        <v/>
      </c>
      <c r="N776" s="10">
        <f>IF(AND(E776="",I776=""),"",N(I776)*(1-COM-COM_SHOP)-N(E776)*(1+IMP_META))</f>
        <v/>
      </c>
      <c r="O776" s="37" t="n"/>
    </row>
    <row r="777">
      <c r="A777" s="36" t="n"/>
      <c r="B777" s="37" t="n"/>
      <c r="C777" s="37" t="n"/>
      <c r="D777" s="38">
        <f>IF(C777="","",IFERROR(INDEX(Anuncios!$B$6:$B$65,MATCH(C777,Anuncios!$A$6:$A$65,0)),"(no está en Anuncios)"))</f>
        <v/>
      </c>
      <c r="E777" s="39" t="n"/>
      <c r="F777" s="40" t="n"/>
      <c r="G777" s="40" t="n"/>
      <c r="H777" s="40" t="n"/>
      <c r="I777" s="39" t="n"/>
      <c r="J777" s="13">
        <f>IF(N(F777)&gt;0,G777/F777,"")</f>
        <v/>
      </c>
      <c r="K777" s="10">
        <f>IF(N(G777)&gt;0,E777/G777,"")</f>
        <v/>
      </c>
      <c r="L777" s="10">
        <f>IF(N(H777)&gt;0,E777/H777,"")</f>
        <v/>
      </c>
      <c r="M777" s="11">
        <f>IF(N(E777)&gt;0,I777/E777,"")</f>
        <v/>
      </c>
      <c r="N777" s="10">
        <f>IF(AND(E777="",I777=""),"",N(I777)*(1-COM-COM_SHOP)-N(E777)*(1+IMP_META))</f>
        <v/>
      </c>
      <c r="O777" s="37" t="n"/>
    </row>
    <row r="778">
      <c r="A778" s="36" t="n"/>
      <c r="B778" s="37" t="n"/>
      <c r="C778" s="37" t="n"/>
      <c r="D778" s="38">
        <f>IF(C778="","",IFERROR(INDEX(Anuncios!$B$6:$B$65,MATCH(C778,Anuncios!$A$6:$A$65,0)),"(no está en Anuncios)"))</f>
        <v/>
      </c>
      <c r="E778" s="39" t="n"/>
      <c r="F778" s="40" t="n"/>
      <c r="G778" s="40" t="n"/>
      <c r="H778" s="40" t="n"/>
      <c r="I778" s="39" t="n"/>
      <c r="J778" s="13">
        <f>IF(N(F778)&gt;0,G778/F778,"")</f>
        <v/>
      </c>
      <c r="K778" s="10">
        <f>IF(N(G778)&gt;0,E778/G778,"")</f>
        <v/>
      </c>
      <c r="L778" s="10">
        <f>IF(N(H778)&gt;0,E778/H778,"")</f>
        <v/>
      </c>
      <c r="M778" s="11">
        <f>IF(N(E778)&gt;0,I778/E778,"")</f>
        <v/>
      </c>
      <c r="N778" s="10">
        <f>IF(AND(E778="",I778=""),"",N(I778)*(1-COM-COM_SHOP)-N(E778)*(1+IMP_META))</f>
        <v/>
      </c>
      <c r="O778" s="37" t="n"/>
    </row>
    <row r="779">
      <c r="A779" s="36" t="n"/>
      <c r="B779" s="37" t="n"/>
      <c r="C779" s="37" t="n"/>
      <c r="D779" s="38">
        <f>IF(C779="","",IFERROR(INDEX(Anuncios!$B$6:$B$65,MATCH(C779,Anuncios!$A$6:$A$65,0)),"(no está en Anuncios)"))</f>
        <v/>
      </c>
      <c r="E779" s="39" t="n"/>
      <c r="F779" s="40" t="n"/>
      <c r="G779" s="40" t="n"/>
      <c r="H779" s="40" t="n"/>
      <c r="I779" s="39" t="n"/>
      <c r="J779" s="13">
        <f>IF(N(F779)&gt;0,G779/F779,"")</f>
        <v/>
      </c>
      <c r="K779" s="10">
        <f>IF(N(G779)&gt;0,E779/G779,"")</f>
        <v/>
      </c>
      <c r="L779" s="10">
        <f>IF(N(H779)&gt;0,E779/H779,"")</f>
        <v/>
      </c>
      <c r="M779" s="11">
        <f>IF(N(E779)&gt;0,I779/E779,"")</f>
        <v/>
      </c>
      <c r="N779" s="10">
        <f>IF(AND(E779="",I779=""),"",N(I779)*(1-COM-COM_SHOP)-N(E779)*(1+IMP_META))</f>
        <v/>
      </c>
      <c r="O779" s="37" t="n"/>
    </row>
    <row r="780">
      <c r="A780" s="36" t="n"/>
      <c r="B780" s="37" t="n"/>
      <c r="C780" s="37" t="n"/>
      <c r="D780" s="38">
        <f>IF(C780="","",IFERROR(INDEX(Anuncios!$B$6:$B$65,MATCH(C780,Anuncios!$A$6:$A$65,0)),"(no está en Anuncios)"))</f>
        <v/>
      </c>
      <c r="E780" s="39" t="n"/>
      <c r="F780" s="40" t="n"/>
      <c r="G780" s="40" t="n"/>
      <c r="H780" s="40" t="n"/>
      <c r="I780" s="39" t="n"/>
      <c r="J780" s="13">
        <f>IF(N(F780)&gt;0,G780/F780,"")</f>
        <v/>
      </c>
      <c r="K780" s="10">
        <f>IF(N(G780)&gt;0,E780/G780,"")</f>
        <v/>
      </c>
      <c r="L780" s="10">
        <f>IF(N(H780)&gt;0,E780/H780,"")</f>
        <v/>
      </c>
      <c r="M780" s="11">
        <f>IF(N(E780)&gt;0,I780/E780,"")</f>
        <v/>
      </c>
      <c r="N780" s="10">
        <f>IF(AND(E780="",I780=""),"",N(I780)*(1-COM-COM_SHOP)-N(E780)*(1+IMP_META))</f>
        <v/>
      </c>
      <c r="O780" s="37" t="n"/>
    </row>
    <row r="781">
      <c r="A781" s="36" t="n"/>
      <c r="B781" s="37" t="n"/>
      <c r="C781" s="37" t="n"/>
      <c r="D781" s="38">
        <f>IF(C781="","",IFERROR(INDEX(Anuncios!$B$6:$B$65,MATCH(C781,Anuncios!$A$6:$A$65,0)),"(no está en Anuncios)"))</f>
        <v/>
      </c>
      <c r="E781" s="39" t="n"/>
      <c r="F781" s="40" t="n"/>
      <c r="G781" s="40" t="n"/>
      <c r="H781" s="40" t="n"/>
      <c r="I781" s="39" t="n"/>
      <c r="J781" s="13">
        <f>IF(N(F781)&gt;0,G781/F781,"")</f>
        <v/>
      </c>
      <c r="K781" s="10">
        <f>IF(N(G781)&gt;0,E781/G781,"")</f>
        <v/>
      </c>
      <c r="L781" s="10">
        <f>IF(N(H781)&gt;0,E781/H781,"")</f>
        <v/>
      </c>
      <c r="M781" s="11">
        <f>IF(N(E781)&gt;0,I781/E781,"")</f>
        <v/>
      </c>
      <c r="N781" s="10">
        <f>IF(AND(E781="",I781=""),"",N(I781)*(1-COM-COM_SHOP)-N(E781)*(1+IMP_META))</f>
        <v/>
      </c>
      <c r="O781" s="37" t="n"/>
    </row>
    <row r="782">
      <c r="A782" s="36" t="n"/>
      <c r="B782" s="37" t="n"/>
      <c r="C782" s="37" t="n"/>
      <c r="D782" s="38">
        <f>IF(C782="","",IFERROR(INDEX(Anuncios!$B$6:$B$65,MATCH(C782,Anuncios!$A$6:$A$65,0)),"(no está en Anuncios)"))</f>
        <v/>
      </c>
      <c r="E782" s="39" t="n"/>
      <c r="F782" s="40" t="n"/>
      <c r="G782" s="40" t="n"/>
      <c r="H782" s="40" t="n"/>
      <c r="I782" s="39" t="n"/>
      <c r="J782" s="13">
        <f>IF(N(F782)&gt;0,G782/F782,"")</f>
        <v/>
      </c>
      <c r="K782" s="10">
        <f>IF(N(G782)&gt;0,E782/G782,"")</f>
        <v/>
      </c>
      <c r="L782" s="10">
        <f>IF(N(H782)&gt;0,E782/H782,"")</f>
        <v/>
      </c>
      <c r="M782" s="11">
        <f>IF(N(E782)&gt;0,I782/E782,"")</f>
        <v/>
      </c>
      <c r="N782" s="10">
        <f>IF(AND(E782="",I782=""),"",N(I782)*(1-COM-COM_SHOP)-N(E782)*(1+IMP_META))</f>
        <v/>
      </c>
      <c r="O782" s="37" t="n"/>
    </row>
    <row r="783">
      <c r="A783" s="36" t="n"/>
      <c r="B783" s="37" t="n"/>
      <c r="C783" s="37" t="n"/>
      <c r="D783" s="38">
        <f>IF(C783="","",IFERROR(INDEX(Anuncios!$B$6:$B$65,MATCH(C783,Anuncios!$A$6:$A$65,0)),"(no está en Anuncios)"))</f>
        <v/>
      </c>
      <c r="E783" s="39" t="n"/>
      <c r="F783" s="40" t="n"/>
      <c r="G783" s="40" t="n"/>
      <c r="H783" s="40" t="n"/>
      <c r="I783" s="39" t="n"/>
      <c r="J783" s="13">
        <f>IF(N(F783)&gt;0,G783/F783,"")</f>
        <v/>
      </c>
      <c r="K783" s="10">
        <f>IF(N(G783)&gt;0,E783/G783,"")</f>
        <v/>
      </c>
      <c r="L783" s="10">
        <f>IF(N(H783)&gt;0,E783/H783,"")</f>
        <v/>
      </c>
      <c r="M783" s="11">
        <f>IF(N(E783)&gt;0,I783/E783,"")</f>
        <v/>
      </c>
      <c r="N783" s="10">
        <f>IF(AND(E783="",I783=""),"",N(I783)*(1-COM-COM_SHOP)-N(E783)*(1+IMP_META))</f>
        <v/>
      </c>
      <c r="O783" s="37" t="n"/>
    </row>
    <row r="784">
      <c r="A784" s="36" t="n"/>
      <c r="B784" s="37" t="n"/>
      <c r="C784" s="37" t="n"/>
      <c r="D784" s="38">
        <f>IF(C784="","",IFERROR(INDEX(Anuncios!$B$6:$B$65,MATCH(C784,Anuncios!$A$6:$A$65,0)),"(no está en Anuncios)"))</f>
        <v/>
      </c>
      <c r="E784" s="39" t="n"/>
      <c r="F784" s="40" t="n"/>
      <c r="G784" s="40" t="n"/>
      <c r="H784" s="40" t="n"/>
      <c r="I784" s="39" t="n"/>
      <c r="J784" s="13">
        <f>IF(N(F784)&gt;0,G784/F784,"")</f>
        <v/>
      </c>
      <c r="K784" s="10">
        <f>IF(N(G784)&gt;0,E784/G784,"")</f>
        <v/>
      </c>
      <c r="L784" s="10">
        <f>IF(N(H784)&gt;0,E784/H784,"")</f>
        <v/>
      </c>
      <c r="M784" s="11">
        <f>IF(N(E784)&gt;0,I784/E784,"")</f>
        <v/>
      </c>
      <c r="N784" s="10">
        <f>IF(AND(E784="",I784=""),"",N(I784)*(1-COM-COM_SHOP)-N(E784)*(1+IMP_META))</f>
        <v/>
      </c>
      <c r="O784" s="37" t="n"/>
    </row>
    <row r="785">
      <c r="A785" s="36" t="n"/>
      <c r="B785" s="37" t="n"/>
      <c r="C785" s="37" t="n"/>
      <c r="D785" s="38">
        <f>IF(C785="","",IFERROR(INDEX(Anuncios!$B$6:$B$65,MATCH(C785,Anuncios!$A$6:$A$65,0)),"(no está en Anuncios)"))</f>
        <v/>
      </c>
      <c r="E785" s="39" t="n"/>
      <c r="F785" s="40" t="n"/>
      <c r="G785" s="40" t="n"/>
      <c r="H785" s="40" t="n"/>
      <c r="I785" s="39" t="n"/>
      <c r="J785" s="13">
        <f>IF(N(F785)&gt;0,G785/F785,"")</f>
        <v/>
      </c>
      <c r="K785" s="10">
        <f>IF(N(G785)&gt;0,E785/G785,"")</f>
        <v/>
      </c>
      <c r="L785" s="10">
        <f>IF(N(H785)&gt;0,E785/H785,"")</f>
        <v/>
      </c>
      <c r="M785" s="11">
        <f>IF(N(E785)&gt;0,I785/E785,"")</f>
        <v/>
      </c>
      <c r="N785" s="10">
        <f>IF(AND(E785="",I785=""),"",N(I785)*(1-COM-COM_SHOP)-N(E785)*(1+IMP_META))</f>
        <v/>
      </c>
      <c r="O785" s="37" t="n"/>
    </row>
    <row r="786">
      <c r="A786" s="36" t="n"/>
      <c r="B786" s="37" t="n"/>
      <c r="C786" s="37" t="n"/>
      <c r="D786" s="38">
        <f>IF(C786="","",IFERROR(INDEX(Anuncios!$B$6:$B$65,MATCH(C786,Anuncios!$A$6:$A$65,0)),"(no está en Anuncios)"))</f>
        <v/>
      </c>
      <c r="E786" s="39" t="n"/>
      <c r="F786" s="40" t="n"/>
      <c r="G786" s="40" t="n"/>
      <c r="H786" s="40" t="n"/>
      <c r="I786" s="39" t="n"/>
      <c r="J786" s="13">
        <f>IF(N(F786)&gt;0,G786/F786,"")</f>
        <v/>
      </c>
      <c r="K786" s="10">
        <f>IF(N(G786)&gt;0,E786/G786,"")</f>
        <v/>
      </c>
      <c r="L786" s="10">
        <f>IF(N(H786)&gt;0,E786/H786,"")</f>
        <v/>
      </c>
      <c r="M786" s="11">
        <f>IF(N(E786)&gt;0,I786/E786,"")</f>
        <v/>
      </c>
      <c r="N786" s="10">
        <f>IF(AND(E786="",I786=""),"",N(I786)*(1-COM-COM_SHOP)-N(E786)*(1+IMP_META))</f>
        <v/>
      </c>
      <c r="O786" s="37" t="n"/>
    </row>
    <row r="787">
      <c r="A787" s="36" t="n"/>
      <c r="B787" s="37" t="n"/>
      <c r="C787" s="37" t="n"/>
      <c r="D787" s="38">
        <f>IF(C787="","",IFERROR(INDEX(Anuncios!$B$6:$B$65,MATCH(C787,Anuncios!$A$6:$A$65,0)),"(no está en Anuncios)"))</f>
        <v/>
      </c>
      <c r="E787" s="39" t="n"/>
      <c r="F787" s="40" t="n"/>
      <c r="G787" s="40" t="n"/>
      <c r="H787" s="40" t="n"/>
      <c r="I787" s="39" t="n"/>
      <c r="J787" s="13">
        <f>IF(N(F787)&gt;0,G787/F787,"")</f>
        <v/>
      </c>
      <c r="K787" s="10">
        <f>IF(N(G787)&gt;0,E787/G787,"")</f>
        <v/>
      </c>
      <c r="L787" s="10">
        <f>IF(N(H787)&gt;0,E787/H787,"")</f>
        <v/>
      </c>
      <c r="M787" s="11">
        <f>IF(N(E787)&gt;0,I787/E787,"")</f>
        <v/>
      </c>
      <c r="N787" s="10">
        <f>IF(AND(E787="",I787=""),"",N(I787)*(1-COM-COM_SHOP)-N(E787)*(1+IMP_META))</f>
        <v/>
      </c>
      <c r="O787" s="37" t="n"/>
    </row>
    <row r="788">
      <c r="A788" s="36" t="n"/>
      <c r="B788" s="37" t="n"/>
      <c r="C788" s="37" t="n"/>
      <c r="D788" s="38">
        <f>IF(C788="","",IFERROR(INDEX(Anuncios!$B$6:$B$65,MATCH(C788,Anuncios!$A$6:$A$65,0)),"(no está en Anuncios)"))</f>
        <v/>
      </c>
      <c r="E788" s="39" t="n"/>
      <c r="F788" s="40" t="n"/>
      <c r="G788" s="40" t="n"/>
      <c r="H788" s="40" t="n"/>
      <c r="I788" s="39" t="n"/>
      <c r="J788" s="13">
        <f>IF(N(F788)&gt;0,G788/F788,"")</f>
        <v/>
      </c>
      <c r="K788" s="10">
        <f>IF(N(G788)&gt;0,E788/G788,"")</f>
        <v/>
      </c>
      <c r="L788" s="10">
        <f>IF(N(H788)&gt;0,E788/H788,"")</f>
        <v/>
      </c>
      <c r="M788" s="11">
        <f>IF(N(E788)&gt;0,I788/E788,"")</f>
        <v/>
      </c>
      <c r="N788" s="10">
        <f>IF(AND(E788="",I788=""),"",N(I788)*(1-COM-COM_SHOP)-N(E788)*(1+IMP_META))</f>
        <v/>
      </c>
      <c r="O788" s="37" t="n"/>
    </row>
    <row r="789">
      <c r="A789" s="36" t="n"/>
      <c r="B789" s="37" t="n"/>
      <c r="C789" s="37" t="n"/>
      <c r="D789" s="38">
        <f>IF(C789="","",IFERROR(INDEX(Anuncios!$B$6:$B$65,MATCH(C789,Anuncios!$A$6:$A$65,0)),"(no está en Anuncios)"))</f>
        <v/>
      </c>
      <c r="E789" s="39" t="n"/>
      <c r="F789" s="40" t="n"/>
      <c r="G789" s="40" t="n"/>
      <c r="H789" s="40" t="n"/>
      <c r="I789" s="39" t="n"/>
      <c r="J789" s="13">
        <f>IF(N(F789)&gt;0,G789/F789,"")</f>
        <v/>
      </c>
      <c r="K789" s="10">
        <f>IF(N(G789)&gt;0,E789/G789,"")</f>
        <v/>
      </c>
      <c r="L789" s="10">
        <f>IF(N(H789)&gt;0,E789/H789,"")</f>
        <v/>
      </c>
      <c r="M789" s="11">
        <f>IF(N(E789)&gt;0,I789/E789,"")</f>
        <v/>
      </c>
      <c r="N789" s="10">
        <f>IF(AND(E789="",I789=""),"",N(I789)*(1-COM-COM_SHOP)-N(E789)*(1+IMP_META))</f>
        <v/>
      </c>
      <c r="O789" s="37" t="n"/>
    </row>
    <row r="790">
      <c r="A790" s="36" t="n"/>
      <c r="B790" s="37" t="n"/>
      <c r="C790" s="37" t="n"/>
      <c r="D790" s="38">
        <f>IF(C790="","",IFERROR(INDEX(Anuncios!$B$6:$B$65,MATCH(C790,Anuncios!$A$6:$A$65,0)),"(no está en Anuncios)"))</f>
        <v/>
      </c>
      <c r="E790" s="39" t="n"/>
      <c r="F790" s="40" t="n"/>
      <c r="G790" s="40" t="n"/>
      <c r="H790" s="40" t="n"/>
      <c r="I790" s="39" t="n"/>
      <c r="J790" s="13">
        <f>IF(N(F790)&gt;0,G790/F790,"")</f>
        <v/>
      </c>
      <c r="K790" s="10">
        <f>IF(N(G790)&gt;0,E790/G790,"")</f>
        <v/>
      </c>
      <c r="L790" s="10">
        <f>IF(N(H790)&gt;0,E790/H790,"")</f>
        <v/>
      </c>
      <c r="M790" s="11">
        <f>IF(N(E790)&gt;0,I790/E790,"")</f>
        <v/>
      </c>
      <c r="N790" s="10">
        <f>IF(AND(E790="",I790=""),"",N(I790)*(1-COM-COM_SHOP)-N(E790)*(1+IMP_META))</f>
        <v/>
      </c>
      <c r="O790" s="37" t="n"/>
    </row>
    <row r="791">
      <c r="A791" s="36" t="n"/>
      <c r="B791" s="37" t="n"/>
      <c r="C791" s="37" t="n"/>
      <c r="D791" s="38">
        <f>IF(C791="","",IFERROR(INDEX(Anuncios!$B$6:$B$65,MATCH(C791,Anuncios!$A$6:$A$65,0)),"(no está en Anuncios)"))</f>
        <v/>
      </c>
      <c r="E791" s="39" t="n"/>
      <c r="F791" s="40" t="n"/>
      <c r="G791" s="40" t="n"/>
      <c r="H791" s="40" t="n"/>
      <c r="I791" s="39" t="n"/>
      <c r="J791" s="13">
        <f>IF(N(F791)&gt;0,G791/F791,"")</f>
        <v/>
      </c>
      <c r="K791" s="10">
        <f>IF(N(G791)&gt;0,E791/G791,"")</f>
        <v/>
      </c>
      <c r="L791" s="10">
        <f>IF(N(H791)&gt;0,E791/H791,"")</f>
        <v/>
      </c>
      <c r="M791" s="11">
        <f>IF(N(E791)&gt;0,I791/E791,"")</f>
        <v/>
      </c>
      <c r="N791" s="10">
        <f>IF(AND(E791="",I791=""),"",N(I791)*(1-COM-COM_SHOP)-N(E791)*(1+IMP_META))</f>
        <v/>
      </c>
      <c r="O791" s="37" t="n"/>
    </row>
    <row r="792">
      <c r="A792" s="36" t="n"/>
      <c r="B792" s="37" t="n"/>
      <c r="C792" s="37" t="n"/>
      <c r="D792" s="38">
        <f>IF(C792="","",IFERROR(INDEX(Anuncios!$B$6:$B$65,MATCH(C792,Anuncios!$A$6:$A$65,0)),"(no está en Anuncios)"))</f>
        <v/>
      </c>
      <c r="E792" s="39" t="n"/>
      <c r="F792" s="40" t="n"/>
      <c r="G792" s="40" t="n"/>
      <c r="H792" s="40" t="n"/>
      <c r="I792" s="39" t="n"/>
      <c r="J792" s="13">
        <f>IF(N(F792)&gt;0,G792/F792,"")</f>
        <v/>
      </c>
      <c r="K792" s="10">
        <f>IF(N(G792)&gt;0,E792/G792,"")</f>
        <v/>
      </c>
      <c r="L792" s="10">
        <f>IF(N(H792)&gt;0,E792/H792,"")</f>
        <v/>
      </c>
      <c r="M792" s="11">
        <f>IF(N(E792)&gt;0,I792/E792,"")</f>
        <v/>
      </c>
      <c r="N792" s="10">
        <f>IF(AND(E792="",I792=""),"",N(I792)*(1-COM-COM_SHOP)-N(E792)*(1+IMP_META))</f>
        <v/>
      </c>
      <c r="O792" s="37" t="n"/>
    </row>
    <row r="793">
      <c r="A793" s="36" t="n"/>
      <c r="B793" s="37" t="n"/>
      <c r="C793" s="37" t="n"/>
      <c r="D793" s="38">
        <f>IF(C793="","",IFERROR(INDEX(Anuncios!$B$6:$B$65,MATCH(C793,Anuncios!$A$6:$A$65,0)),"(no está en Anuncios)"))</f>
        <v/>
      </c>
      <c r="E793" s="39" t="n"/>
      <c r="F793" s="40" t="n"/>
      <c r="G793" s="40" t="n"/>
      <c r="H793" s="40" t="n"/>
      <c r="I793" s="39" t="n"/>
      <c r="J793" s="13">
        <f>IF(N(F793)&gt;0,G793/F793,"")</f>
        <v/>
      </c>
      <c r="K793" s="10">
        <f>IF(N(G793)&gt;0,E793/G793,"")</f>
        <v/>
      </c>
      <c r="L793" s="10">
        <f>IF(N(H793)&gt;0,E793/H793,"")</f>
        <v/>
      </c>
      <c r="M793" s="11">
        <f>IF(N(E793)&gt;0,I793/E793,"")</f>
        <v/>
      </c>
      <c r="N793" s="10">
        <f>IF(AND(E793="",I793=""),"",N(I793)*(1-COM-COM_SHOP)-N(E793)*(1+IMP_META))</f>
        <v/>
      </c>
      <c r="O793" s="37" t="n"/>
    </row>
    <row r="794">
      <c r="A794" s="36" t="n"/>
      <c r="B794" s="37" t="n"/>
      <c r="C794" s="37" t="n"/>
      <c r="D794" s="38">
        <f>IF(C794="","",IFERROR(INDEX(Anuncios!$B$6:$B$65,MATCH(C794,Anuncios!$A$6:$A$65,0)),"(no está en Anuncios)"))</f>
        <v/>
      </c>
      <c r="E794" s="39" t="n"/>
      <c r="F794" s="40" t="n"/>
      <c r="G794" s="40" t="n"/>
      <c r="H794" s="40" t="n"/>
      <c r="I794" s="39" t="n"/>
      <c r="J794" s="13">
        <f>IF(N(F794)&gt;0,G794/F794,"")</f>
        <v/>
      </c>
      <c r="K794" s="10">
        <f>IF(N(G794)&gt;0,E794/G794,"")</f>
        <v/>
      </c>
      <c r="L794" s="10">
        <f>IF(N(H794)&gt;0,E794/H794,"")</f>
        <v/>
      </c>
      <c r="M794" s="11">
        <f>IF(N(E794)&gt;0,I794/E794,"")</f>
        <v/>
      </c>
      <c r="N794" s="10">
        <f>IF(AND(E794="",I794=""),"",N(I794)*(1-COM-COM_SHOP)-N(E794)*(1+IMP_META))</f>
        <v/>
      </c>
      <c r="O794" s="37" t="n"/>
    </row>
    <row r="795">
      <c r="A795" s="36" t="n"/>
      <c r="B795" s="37" t="n"/>
      <c r="C795" s="37" t="n"/>
      <c r="D795" s="38">
        <f>IF(C795="","",IFERROR(INDEX(Anuncios!$B$6:$B$65,MATCH(C795,Anuncios!$A$6:$A$65,0)),"(no está en Anuncios)"))</f>
        <v/>
      </c>
      <c r="E795" s="39" t="n"/>
      <c r="F795" s="40" t="n"/>
      <c r="G795" s="40" t="n"/>
      <c r="H795" s="40" t="n"/>
      <c r="I795" s="39" t="n"/>
      <c r="J795" s="13">
        <f>IF(N(F795)&gt;0,G795/F795,"")</f>
        <v/>
      </c>
      <c r="K795" s="10">
        <f>IF(N(G795)&gt;0,E795/G795,"")</f>
        <v/>
      </c>
      <c r="L795" s="10">
        <f>IF(N(H795)&gt;0,E795/H795,"")</f>
        <v/>
      </c>
      <c r="M795" s="11">
        <f>IF(N(E795)&gt;0,I795/E795,"")</f>
        <v/>
      </c>
      <c r="N795" s="10">
        <f>IF(AND(E795="",I795=""),"",N(I795)*(1-COM-COM_SHOP)-N(E795)*(1+IMP_META))</f>
        <v/>
      </c>
      <c r="O795" s="37" t="n"/>
    </row>
    <row r="796">
      <c r="A796" s="36" t="n"/>
      <c r="B796" s="37" t="n"/>
      <c r="C796" s="37" t="n"/>
      <c r="D796" s="38">
        <f>IF(C796="","",IFERROR(INDEX(Anuncios!$B$6:$B$65,MATCH(C796,Anuncios!$A$6:$A$65,0)),"(no está en Anuncios)"))</f>
        <v/>
      </c>
      <c r="E796" s="39" t="n"/>
      <c r="F796" s="40" t="n"/>
      <c r="G796" s="40" t="n"/>
      <c r="H796" s="40" t="n"/>
      <c r="I796" s="39" t="n"/>
      <c r="J796" s="13">
        <f>IF(N(F796)&gt;0,G796/F796,"")</f>
        <v/>
      </c>
      <c r="K796" s="10">
        <f>IF(N(G796)&gt;0,E796/G796,"")</f>
        <v/>
      </c>
      <c r="L796" s="10">
        <f>IF(N(H796)&gt;0,E796/H796,"")</f>
        <v/>
      </c>
      <c r="M796" s="11">
        <f>IF(N(E796)&gt;0,I796/E796,"")</f>
        <v/>
      </c>
      <c r="N796" s="10">
        <f>IF(AND(E796="",I796=""),"",N(I796)*(1-COM-COM_SHOP)-N(E796)*(1+IMP_META))</f>
        <v/>
      </c>
      <c r="O796" s="37" t="n"/>
    </row>
    <row r="797">
      <c r="A797" s="36" t="n"/>
      <c r="B797" s="37" t="n"/>
      <c r="C797" s="37" t="n"/>
      <c r="D797" s="38">
        <f>IF(C797="","",IFERROR(INDEX(Anuncios!$B$6:$B$65,MATCH(C797,Anuncios!$A$6:$A$65,0)),"(no está en Anuncios)"))</f>
        <v/>
      </c>
      <c r="E797" s="39" t="n"/>
      <c r="F797" s="40" t="n"/>
      <c r="G797" s="40" t="n"/>
      <c r="H797" s="40" t="n"/>
      <c r="I797" s="39" t="n"/>
      <c r="J797" s="13">
        <f>IF(N(F797)&gt;0,G797/F797,"")</f>
        <v/>
      </c>
      <c r="K797" s="10">
        <f>IF(N(G797)&gt;0,E797/G797,"")</f>
        <v/>
      </c>
      <c r="L797" s="10">
        <f>IF(N(H797)&gt;0,E797/H797,"")</f>
        <v/>
      </c>
      <c r="M797" s="11">
        <f>IF(N(E797)&gt;0,I797/E797,"")</f>
        <v/>
      </c>
      <c r="N797" s="10">
        <f>IF(AND(E797="",I797=""),"",N(I797)*(1-COM-COM_SHOP)-N(E797)*(1+IMP_META))</f>
        <v/>
      </c>
      <c r="O797" s="37" t="n"/>
    </row>
    <row r="798">
      <c r="A798" s="36" t="n"/>
      <c r="B798" s="37" t="n"/>
      <c r="C798" s="37" t="n"/>
      <c r="D798" s="38">
        <f>IF(C798="","",IFERROR(INDEX(Anuncios!$B$6:$B$65,MATCH(C798,Anuncios!$A$6:$A$65,0)),"(no está en Anuncios)"))</f>
        <v/>
      </c>
      <c r="E798" s="39" t="n"/>
      <c r="F798" s="40" t="n"/>
      <c r="G798" s="40" t="n"/>
      <c r="H798" s="40" t="n"/>
      <c r="I798" s="39" t="n"/>
      <c r="J798" s="13">
        <f>IF(N(F798)&gt;0,G798/F798,"")</f>
        <v/>
      </c>
      <c r="K798" s="10">
        <f>IF(N(G798)&gt;0,E798/G798,"")</f>
        <v/>
      </c>
      <c r="L798" s="10">
        <f>IF(N(H798)&gt;0,E798/H798,"")</f>
        <v/>
      </c>
      <c r="M798" s="11">
        <f>IF(N(E798)&gt;0,I798/E798,"")</f>
        <v/>
      </c>
      <c r="N798" s="10">
        <f>IF(AND(E798="",I798=""),"",N(I798)*(1-COM-COM_SHOP)-N(E798)*(1+IMP_META))</f>
        <v/>
      </c>
      <c r="O798" s="37" t="n"/>
    </row>
    <row r="799">
      <c r="A799" s="36" t="n"/>
      <c r="B799" s="37" t="n"/>
      <c r="C799" s="37" t="n"/>
      <c r="D799" s="38">
        <f>IF(C799="","",IFERROR(INDEX(Anuncios!$B$6:$B$65,MATCH(C799,Anuncios!$A$6:$A$65,0)),"(no está en Anuncios)"))</f>
        <v/>
      </c>
      <c r="E799" s="39" t="n"/>
      <c r="F799" s="40" t="n"/>
      <c r="G799" s="40" t="n"/>
      <c r="H799" s="40" t="n"/>
      <c r="I799" s="39" t="n"/>
      <c r="J799" s="13">
        <f>IF(N(F799)&gt;0,G799/F799,"")</f>
        <v/>
      </c>
      <c r="K799" s="10">
        <f>IF(N(G799)&gt;0,E799/G799,"")</f>
        <v/>
      </c>
      <c r="L799" s="10">
        <f>IF(N(H799)&gt;0,E799/H799,"")</f>
        <v/>
      </c>
      <c r="M799" s="11">
        <f>IF(N(E799)&gt;0,I799/E799,"")</f>
        <v/>
      </c>
      <c r="N799" s="10">
        <f>IF(AND(E799="",I799=""),"",N(I799)*(1-COM-COM_SHOP)-N(E799)*(1+IMP_META))</f>
        <v/>
      </c>
      <c r="O799" s="37" t="n"/>
    </row>
    <row r="800">
      <c r="A800" s="36" t="n"/>
      <c r="B800" s="37" t="n"/>
      <c r="C800" s="37" t="n"/>
      <c r="D800" s="38">
        <f>IF(C800="","",IFERROR(INDEX(Anuncios!$B$6:$B$65,MATCH(C800,Anuncios!$A$6:$A$65,0)),"(no está en Anuncios)"))</f>
        <v/>
      </c>
      <c r="E800" s="39" t="n"/>
      <c r="F800" s="40" t="n"/>
      <c r="G800" s="40" t="n"/>
      <c r="H800" s="40" t="n"/>
      <c r="I800" s="39" t="n"/>
      <c r="J800" s="13">
        <f>IF(N(F800)&gt;0,G800/F800,"")</f>
        <v/>
      </c>
      <c r="K800" s="10">
        <f>IF(N(G800)&gt;0,E800/G800,"")</f>
        <v/>
      </c>
      <c r="L800" s="10">
        <f>IF(N(H800)&gt;0,E800/H800,"")</f>
        <v/>
      </c>
      <c r="M800" s="11">
        <f>IF(N(E800)&gt;0,I800/E800,"")</f>
        <v/>
      </c>
      <c r="N800" s="10">
        <f>IF(AND(E800="",I800=""),"",N(I800)*(1-COM-COM_SHOP)-N(E800)*(1+IMP_META))</f>
        <v/>
      </c>
      <c r="O800" s="37" t="n"/>
    </row>
    <row r="801">
      <c r="A801" s="36" t="n"/>
      <c r="B801" s="37" t="n"/>
      <c r="C801" s="37" t="n"/>
      <c r="D801" s="38">
        <f>IF(C801="","",IFERROR(INDEX(Anuncios!$B$6:$B$65,MATCH(C801,Anuncios!$A$6:$A$65,0)),"(no está en Anuncios)"))</f>
        <v/>
      </c>
      <c r="E801" s="39" t="n"/>
      <c r="F801" s="40" t="n"/>
      <c r="G801" s="40" t="n"/>
      <c r="H801" s="40" t="n"/>
      <c r="I801" s="39" t="n"/>
      <c r="J801" s="13">
        <f>IF(N(F801)&gt;0,G801/F801,"")</f>
        <v/>
      </c>
      <c r="K801" s="10">
        <f>IF(N(G801)&gt;0,E801/G801,"")</f>
        <v/>
      </c>
      <c r="L801" s="10">
        <f>IF(N(H801)&gt;0,E801/H801,"")</f>
        <v/>
      </c>
      <c r="M801" s="11">
        <f>IF(N(E801)&gt;0,I801/E801,"")</f>
        <v/>
      </c>
      <c r="N801" s="10">
        <f>IF(AND(E801="",I801=""),"",N(I801)*(1-COM-COM_SHOP)-N(E801)*(1+IMP_META))</f>
        <v/>
      </c>
      <c r="O801" s="37" t="n"/>
    </row>
    <row r="802">
      <c r="A802" s="36" t="n"/>
      <c r="B802" s="37" t="n"/>
      <c r="C802" s="37" t="n"/>
      <c r="D802" s="38">
        <f>IF(C802="","",IFERROR(INDEX(Anuncios!$B$6:$B$65,MATCH(C802,Anuncios!$A$6:$A$65,0)),"(no está en Anuncios)"))</f>
        <v/>
      </c>
      <c r="E802" s="39" t="n"/>
      <c r="F802" s="40" t="n"/>
      <c r="G802" s="40" t="n"/>
      <c r="H802" s="40" t="n"/>
      <c r="I802" s="39" t="n"/>
      <c r="J802" s="13">
        <f>IF(N(F802)&gt;0,G802/F802,"")</f>
        <v/>
      </c>
      <c r="K802" s="10">
        <f>IF(N(G802)&gt;0,E802/G802,"")</f>
        <v/>
      </c>
      <c r="L802" s="10">
        <f>IF(N(H802)&gt;0,E802/H802,"")</f>
        <v/>
      </c>
      <c r="M802" s="11">
        <f>IF(N(E802)&gt;0,I802/E802,"")</f>
        <v/>
      </c>
      <c r="N802" s="10">
        <f>IF(AND(E802="",I802=""),"",N(I802)*(1-COM-COM_SHOP)-N(E802)*(1+IMP_META))</f>
        <v/>
      </c>
      <c r="O802" s="37" t="n"/>
    </row>
    <row r="803">
      <c r="A803" s="36" t="n"/>
      <c r="B803" s="37" t="n"/>
      <c r="C803" s="37" t="n"/>
      <c r="D803" s="38">
        <f>IF(C803="","",IFERROR(INDEX(Anuncios!$B$6:$B$65,MATCH(C803,Anuncios!$A$6:$A$65,0)),"(no está en Anuncios)"))</f>
        <v/>
      </c>
      <c r="E803" s="39" t="n"/>
      <c r="F803" s="40" t="n"/>
      <c r="G803" s="40" t="n"/>
      <c r="H803" s="40" t="n"/>
      <c r="I803" s="39" t="n"/>
      <c r="J803" s="13">
        <f>IF(N(F803)&gt;0,G803/F803,"")</f>
        <v/>
      </c>
      <c r="K803" s="10">
        <f>IF(N(G803)&gt;0,E803/G803,"")</f>
        <v/>
      </c>
      <c r="L803" s="10">
        <f>IF(N(H803)&gt;0,E803/H803,"")</f>
        <v/>
      </c>
      <c r="M803" s="11">
        <f>IF(N(E803)&gt;0,I803/E803,"")</f>
        <v/>
      </c>
      <c r="N803" s="10">
        <f>IF(AND(E803="",I803=""),"",N(I803)*(1-COM-COM_SHOP)-N(E803)*(1+IMP_META))</f>
        <v/>
      </c>
      <c r="O803" s="37" t="n"/>
    </row>
    <row r="804">
      <c r="A804" s="36" t="n"/>
      <c r="B804" s="37" t="n"/>
      <c r="C804" s="37" t="n"/>
      <c r="D804" s="38">
        <f>IF(C804="","",IFERROR(INDEX(Anuncios!$B$6:$B$65,MATCH(C804,Anuncios!$A$6:$A$65,0)),"(no está en Anuncios)"))</f>
        <v/>
      </c>
      <c r="E804" s="39" t="n"/>
      <c r="F804" s="40" t="n"/>
      <c r="G804" s="40" t="n"/>
      <c r="H804" s="40" t="n"/>
      <c r="I804" s="39" t="n"/>
      <c r="J804" s="13">
        <f>IF(N(F804)&gt;0,G804/F804,"")</f>
        <v/>
      </c>
      <c r="K804" s="10">
        <f>IF(N(G804)&gt;0,E804/G804,"")</f>
        <v/>
      </c>
      <c r="L804" s="10">
        <f>IF(N(H804)&gt;0,E804/H804,"")</f>
        <v/>
      </c>
      <c r="M804" s="11">
        <f>IF(N(E804)&gt;0,I804/E804,"")</f>
        <v/>
      </c>
      <c r="N804" s="10">
        <f>IF(AND(E804="",I804=""),"",N(I804)*(1-COM-COM_SHOP)-N(E804)*(1+IMP_META))</f>
        <v/>
      </c>
      <c r="O804" s="37" t="n"/>
    </row>
    <row r="805">
      <c r="A805" s="36" t="n"/>
      <c r="B805" s="37" t="n"/>
      <c r="C805" s="37" t="n"/>
      <c r="D805" s="38">
        <f>IF(C805="","",IFERROR(INDEX(Anuncios!$B$6:$B$65,MATCH(C805,Anuncios!$A$6:$A$65,0)),"(no está en Anuncios)"))</f>
        <v/>
      </c>
      <c r="E805" s="39" t="n"/>
      <c r="F805" s="40" t="n"/>
      <c r="G805" s="40" t="n"/>
      <c r="H805" s="40" t="n"/>
      <c r="I805" s="39" t="n"/>
      <c r="J805" s="13">
        <f>IF(N(F805)&gt;0,G805/F805,"")</f>
        <v/>
      </c>
      <c r="K805" s="10">
        <f>IF(N(G805)&gt;0,E805/G805,"")</f>
        <v/>
      </c>
      <c r="L805" s="10">
        <f>IF(N(H805)&gt;0,E805/H805,"")</f>
        <v/>
      </c>
      <c r="M805" s="11">
        <f>IF(N(E805)&gt;0,I805/E805,"")</f>
        <v/>
      </c>
      <c r="N805" s="10">
        <f>IF(AND(E805="",I805=""),"",N(I805)*(1-COM-COM_SHOP)-N(E805)*(1+IMP_META))</f>
        <v/>
      </c>
      <c r="O805" s="37" t="n"/>
    </row>
    <row r="806">
      <c r="A806" s="36" t="n"/>
      <c r="B806" s="37" t="n"/>
      <c r="C806" s="37" t="n"/>
      <c r="D806" s="38">
        <f>IF(C806="","",IFERROR(INDEX(Anuncios!$B$6:$B$65,MATCH(C806,Anuncios!$A$6:$A$65,0)),"(no está en Anuncios)"))</f>
        <v/>
      </c>
      <c r="E806" s="39" t="n"/>
      <c r="F806" s="40" t="n"/>
      <c r="G806" s="40" t="n"/>
      <c r="H806" s="40" t="n"/>
      <c r="I806" s="39" t="n"/>
      <c r="J806" s="13">
        <f>IF(N(F806)&gt;0,G806/F806,"")</f>
        <v/>
      </c>
      <c r="K806" s="10">
        <f>IF(N(G806)&gt;0,E806/G806,"")</f>
        <v/>
      </c>
      <c r="L806" s="10">
        <f>IF(N(H806)&gt;0,E806/H806,"")</f>
        <v/>
      </c>
      <c r="M806" s="11">
        <f>IF(N(E806)&gt;0,I806/E806,"")</f>
        <v/>
      </c>
      <c r="N806" s="10">
        <f>IF(AND(E806="",I806=""),"",N(I806)*(1-COM-COM_SHOP)-N(E806)*(1+IMP_META))</f>
        <v/>
      </c>
      <c r="O806" s="37" t="n"/>
    </row>
    <row r="807">
      <c r="A807" s="36" t="n"/>
      <c r="B807" s="37" t="n"/>
      <c r="C807" s="37" t="n"/>
      <c r="D807" s="38">
        <f>IF(C807="","",IFERROR(INDEX(Anuncios!$B$6:$B$65,MATCH(C807,Anuncios!$A$6:$A$65,0)),"(no está en Anuncios)"))</f>
        <v/>
      </c>
      <c r="E807" s="39" t="n"/>
      <c r="F807" s="40" t="n"/>
      <c r="G807" s="40" t="n"/>
      <c r="H807" s="40" t="n"/>
      <c r="I807" s="39" t="n"/>
      <c r="J807" s="13">
        <f>IF(N(F807)&gt;0,G807/F807,"")</f>
        <v/>
      </c>
      <c r="K807" s="10">
        <f>IF(N(G807)&gt;0,E807/G807,"")</f>
        <v/>
      </c>
      <c r="L807" s="10">
        <f>IF(N(H807)&gt;0,E807/H807,"")</f>
        <v/>
      </c>
      <c r="M807" s="11">
        <f>IF(N(E807)&gt;0,I807/E807,"")</f>
        <v/>
      </c>
      <c r="N807" s="10">
        <f>IF(AND(E807="",I807=""),"",N(I807)*(1-COM-COM_SHOP)-N(E807)*(1+IMP_META))</f>
        <v/>
      </c>
      <c r="O807" s="37" t="n"/>
    </row>
    <row r="808">
      <c r="A808" s="36" t="n"/>
      <c r="B808" s="37" t="n"/>
      <c r="C808" s="37" t="n"/>
      <c r="D808" s="38">
        <f>IF(C808="","",IFERROR(INDEX(Anuncios!$B$6:$B$65,MATCH(C808,Anuncios!$A$6:$A$65,0)),"(no está en Anuncios)"))</f>
        <v/>
      </c>
      <c r="E808" s="39" t="n"/>
      <c r="F808" s="40" t="n"/>
      <c r="G808" s="40" t="n"/>
      <c r="H808" s="40" t="n"/>
      <c r="I808" s="39" t="n"/>
      <c r="J808" s="13">
        <f>IF(N(F808)&gt;0,G808/F808,"")</f>
        <v/>
      </c>
      <c r="K808" s="10">
        <f>IF(N(G808)&gt;0,E808/G808,"")</f>
        <v/>
      </c>
      <c r="L808" s="10">
        <f>IF(N(H808)&gt;0,E808/H808,"")</f>
        <v/>
      </c>
      <c r="M808" s="11">
        <f>IF(N(E808)&gt;0,I808/E808,"")</f>
        <v/>
      </c>
      <c r="N808" s="10">
        <f>IF(AND(E808="",I808=""),"",N(I808)*(1-COM-COM_SHOP)-N(E808)*(1+IMP_META))</f>
        <v/>
      </c>
      <c r="O808" s="37" t="n"/>
    </row>
    <row r="809">
      <c r="A809" s="36" t="n"/>
      <c r="B809" s="37" t="n"/>
      <c r="C809" s="37" t="n"/>
      <c r="D809" s="38">
        <f>IF(C809="","",IFERROR(INDEX(Anuncios!$B$6:$B$65,MATCH(C809,Anuncios!$A$6:$A$65,0)),"(no está en Anuncios)"))</f>
        <v/>
      </c>
      <c r="E809" s="39" t="n"/>
      <c r="F809" s="40" t="n"/>
      <c r="G809" s="40" t="n"/>
      <c r="H809" s="40" t="n"/>
      <c r="I809" s="39" t="n"/>
      <c r="J809" s="13">
        <f>IF(N(F809)&gt;0,G809/F809,"")</f>
        <v/>
      </c>
      <c r="K809" s="10">
        <f>IF(N(G809)&gt;0,E809/G809,"")</f>
        <v/>
      </c>
      <c r="L809" s="10">
        <f>IF(N(H809)&gt;0,E809/H809,"")</f>
        <v/>
      </c>
      <c r="M809" s="11">
        <f>IF(N(E809)&gt;0,I809/E809,"")</f>
        <v/>
      </c>
      <c r="N809" s="10">
        <f>IF(AND(E809="",I809=""),"",N(I809)*(1-COM-COM_SHOP)-N(E809)*(1+IMP_META))</f>
        <v/>
      </c>
      <c r="O809" s="37" t="n"/>
    </row>
    <row r="810">
      <c r="A810" s="36" t="n"/>
      <c r="B810" s="37" t="n"/>
      <c r="C810" s="37" t="n"/>
      <c r="D810" s="38">
        <f>IF(C810="","",IFERROR(INDEX(Anuncios!$B$6:$B$65,MATCH(C810,Anuncios!$A$6:$A$65,0)),"(no está en Anuncios)"))</f>
        <v/>
      </c>
      <c r="E810" s="39" t="n"/>
      <c r="F810" s="40" t="n"/>
      <c r="G810" s="40" t="n"/>
      <c r="H810" s="40" t="n"/>
      <c r="I810" s="39" t="n"/>
      <c r="J810" s="13">
        <f>IF(N(F810)&gt;0,G810/F810,"")</f>
        <v/>
      </c>
      <c r="K810" s="10">
        <f>IF(N(G810)&gt;0,E810/G810,"")</f>
        <v/>
      </c>
      <c r="L810" s="10">
        <f>IF(N(H810)&gt;0,E810/H810,"")</f>
        <v/>
      </c>
      <c r="M810" s="11">
        <f>IF(N(E810)&gt;0,I810/E810,"")</f>
        <v/>
      </c>
      <c r="N810" s="10">
        <f>IF(AND(E810="",I810=""),"",N(I810)*(1-COM-COM_SHOP)-N(E810)*(1+IMP_META))</f>
        <v/>
      </c>
      <c r="O810" s="37" t="n"/>
    </row>
    <row r="811">
      <c r="A811" s="36" t="n"/>
      <c r="B811" s="37" t="n"/>
      <c r="C811" s="37" t="n"/>
      <c r="D811" s="38">
        <f>IF(C811="","",IFERROR(INDEX(Anuncios!$B$6:$B$65,MATCH(C811,Anuncios!$A$6:$A$65,0)),"(no está en Anuncios)"))</f>
        <v/>
      </c>
      <c r="E811" s="39" t="n"/>
      <c r="F811" s="40" t="n"/>
      <c r="G811" s="40" t="n"/>
      <c r="H811" s="40" t="n"/>
      <c r="I811" s="39" t="n"/>
      <c r="J811" s="13">
        <f>IF(N(F811)&gt;0,G811/F811,"")</f>
        <v/>
      </c>
      <c r="K811" s="10">
        <f>IF(N(G811)&gt;0,E811/G811,"")</f>
        <v/>
      </c>
      <c r="L811" s="10">
        <f>IF(N(H811)&gt;0,E811/H811,"")</f>
        <v/>
      </c>
      <c r="M811" s="11">
        <f>IF(N(E811)&gt;0,I811/E811,"")</f>
        <v/>
      </c>
      <c r="N811" s="10">
        <f>IF(AND(E811="",I811=""),"",N(I811)*(1-COM-COM_SHOP)-N(E811)*(1+IMP_META))</f>
        <v/>
      </c>
      <c r="O811" s="37" t="n"/>
    </row>
    <row r="812">
      <c r="A812" s="36" t="n"/>
      <c r="B812" s="37" t="n"/>
      <c r="C812" s="37" t="n"/>
      <c r="D812" s="38">
        <f>IF(C812="","",IFERROR(INDEX(Anuncios!$B$6:$B$65,MATCH(C812,Anuncios!$A$6:$A$65,0)),"(no está en Anuncios)"))</f>
        <v/>
      </c>
      <c r="E812" s="39" t="n"/>
      <c r="F812" s="40" t="n"/>
      <c r="G812" s="40" t="n"/>
      <c r="H812" s="40" t="n"/>
      <c r="I812" s="39" t="n"/>
      <c r="J812" s="13">
        <f>IF(N(F812)&gt;0,G812/F812,"")</f>
        <v/>
      </c>
      <c r="K812" s="10">
        <f>IF(N(G812)&gt;0,E812/G812,"")</f>
        <v/>
      </c>
      <c r="L812" s="10">
        <f>IF(N(H812)&gt;0,E812/H812,"")</f>
        <v/>
      </c>
      <c r="M812" s="11">
        <f>IF(N(E812)&gt;0,I812/E812,"")</f>
        <v/>
      </c>
      <c r="N812" s="10">
        <f>IF(AND(E812="",I812=""),"",N(I812)*(1-COM-COM_SHOP)-N(E812)*(1+IMP_META))</f>
        <v/>
      </c>
      <c r="O812" s="37" t="n"/>
    </row>
    <row r="813">
      <c r="A813" s="36" t="n"/>
      <c r="B813" s="37" t="n"/>
      <c r="C813" s="37" t="n"/>
      <c r="D813" s="38">
        <f>IF(C813="","",IFERROR(INDEX(Anuncios!$B$6:$B$65,MATCH(C813,Anuncios!$A$6:$A$65,0)),"(no está en Anuncios)"))</f>
        <v/>
      </c>
      <c r="E813" s="39" t="n"/>
      <c r="F813" s="40" t="n"/>
      <c r="G813" s="40" t="n"/>
      <c r="H813" s="40" t="n"/>
      <c r="I813" s="39" t="n"/>
      <c r="J813" s="13">
        <f>IF(N(F813)&gt;0,G813/F813,"")</f>
        <v/>
      </c>
      <c r="K813" s="10">
        <f>IF(N(G813)&gt;0,E813/G813,"")</f>
        <v/>
      </c>
      <c r="L813" s="10">
        <f>IF(N(H813)&gt;0,E813/H813,"")</f>
        <v/>
      </c>
      <c r="M813" s="11">
        <f>IF(N(E813)&gt;0,I813/E813,"")</f>
        <v/>
      </c>
      <c r="N813" s="10">
        <f>IF(AND(E813="",I813=""),"",N(I813)*(1-COM-COM_SHOP)-N(E813)*(1+IMP_META))</f>
        <v/>
      </c>
      <c r="O813" s="37" t="n"/>
    </row>
    <row r="814">
      <c r="A814" s="36" t="n"/>
      <c r="B814" s="37" t="n"/>
      <c r="C814" s="37" t="n"/>
      <c r="D814" s="38">
        <f>IF(C814="","",IFERROR(INDEX(Anuncios!$B$6:$B$65,MATCH(C814,Anuncios!$A$6:$A$65,0)),"(no está en Anuncios)"))</f>
        <v/>
      </c>
      <c r="E814" s="39" t="n"/>
      <c r="F814" s="40" t="n"/>
      <c r="G814" s="40" t="n"/>
      <c r="H814" s="40" t="n"/>
      <c r="I814" s="39" t="n"/>
      <c r="J814" s="13">
        <f>IF(N(F814)&gt;0,G814/F814,"")</f>
        <v/>
      </c>
      <c r="K814" s="10">
        <f>IF(N(G814)&gt;0,E814/G814,"")</f>
        <v/>
      </c>
      <c r="L814" s="10">
        <f>IF(N(H814)&gt;0,E814/H814,"")</f>
        <v/>
      </c>
      <c r="M814" s="11">
        <f>IF(N(E814)&gt;0,I814/E814,"")</f>
        <v/>
      </c>
      <c r="N814" s="10">
        <f>IF(AND(E814="",I814=""),"",N(I814)*(1-COM-COM_SHOP)-N(E814)*(1+IMP_META))</f>
        <v/>
      </c>
      <c r="O814" s="37" t="n"/>
    </row>
    <row r="815">
      <c r="A815" s="36" t="n"/>
      <c r="B815" s="37" t="n"/>
      <c r="C815" s="37" t="n"/>
      <c r="D815" s="38">
        <f>IF(C815="","",IFERROR(INDEX(Anuncios!$B$6:$B$65,MATCH(C815,Anuncios!$A$6:$A$65,0)),"(no está en Anuncios)"))</f>
        <v/>
      </c>
      <c r="E815" s="39" t="n"/>
      <c r="F815" s="40" t="n"/>
      <c r="G815" s="40" t="n"/>
      <c r="H815" s="40" t="n"/>
      <c r="I815" s="39" t="n"/>
      <c r="J815" s="13">
        <f>IF(N(F815)&gt;0,G815/F815,"")</f>
        <v/>
      </c>
      <c r="K815" s="10">
        <f>IF(N(G815)&gt;0,E815/G815,"")</f>
        <v/>
      </c>
      <c r="L815" s="10">
        <f>IF(N(H815)&gt;0,E815/H815,"")</f>
        <v/>
      </c>
      <c r="M815" s="11">
        <f>IF(N(E815)&gt;0,I815/E815,"")</f>
        <v/>
      </c>
      <c r="N815" s="10">
        <f>IF(AND(E815="",I815=""),"",N(I815)*(1-COM-COM_SHOP)-N(E815)*(1+IMP_META))</f>
        <v/>
      </c>
      <c r="O815" s="37" t="n"/>
    </row>
    <row r="816">
      <c r="A816" s="36" t="n"/>
      <c r="B816" s="37" t="n"/>
      <c r="C816" s="37" t="n"/>
      <c r="D816" s="38">
        <f>IF(C816="","",IFERROR(INDEX(Anuncios!$B$6:$B$65,MATCH(C816,Anuncios!$A$6:$A$65,0)),"(no está en Anuncios)"))</f>
        <v/>
      </c>
      <c r="E816" s="39" t="n"/>
      <c r="F816" s="40" t="n"/>
      <c r="G816" s="40" t="n"/>
      <c r="H816" s="40" t="n"/>
      <c r="I816" s="39" t="n"/>
      <c r="J816" s="13">
        <f>IF(N(F816)&gt;0,G816/F816,"")</f>
        <v/>
      </c>
      <c r="K816" s="10">
        <f>IF(N(G816)&gt;0,E816/G816,"")</f>
        <v/>
      </c>
      <c r="L816" s="10">
        <f>IF(N(H816)&gt;0,E816/H816,"")</f>
        <v/>
      </c>
      <c r="M816" s="11">
        <f>IF(N(E816)&gt;0,I816/E816,"")</f>
        <v/>
      </c>
      <c r="N816" s="10">
        <f>IF(AND(E816="",I816=""),"",N(I816)*(1-COM-COM_SHOP)-N(E816)*(1+IMP_META))</f>
        <v/>
      </c>
      <c r="O816" s="37" t="n"/>
    </row>
    <row r="817">
      <c r="A817" s="36" t="n"/>
      <c r="B817" s="37" t="n"/>
      <c r="C817" s="37" t="n"/>
      <c r="D817" s="38">
        <f>IF(C817="","",IFERROR(INDEX(Anuncios!$B$6:$B$65,MATCH(C817,Anuncios!$A$6:$A$65,0)),"(no está en Anuncios)"))</f>
        <v/>
      </c>
      <c r="E817" s="39" t="n"/>
      <c r="F817" s="40" t="n"/>
      <c r="G817" s="40" t="n"/>
      <c r="H817" s="40" t="n"/>
      <c r="I817" s="39" t="n"/>
      <c r="J817" s="13">
        <f>IF(N(F817)&gt;0,G817/F817,"")</f>
        <v/>
      </c>
      <c r="K817" s="10">
        <f>IF(N(G817)&gt;0,E817/G817,"")</f>
        <v/>
      </c>
      <c r="L817" s="10">
        <f>IF(N(H817)&gt;0,E817/H817,"")</f>
        <v/>
      </c>
      <c r="M817" s="11">
        <f>IF(N(E817)&gt;0,I817/E817,"")</f>
        <v/>
      </c>
      <c r="N817" s="10">
        <f>IF(AND(E817="",I817=""),"",N(I817)*(1-COM-COM_SHOP)-N(E817)*(1+IMP_META))</f>
        <v/>
      </c>
      <c r="O817" s="37" t="n"/>
    </row>
    <row r="818">
      <c r="A818" s="36" t="n"/>
      <c r="B818" s="37" t="n"/>
      <c r="C818" s="37" t="n"/>
      <c r="D818" s="38">
        <f>IF(C818="","",IFERROR(INDEX(Anuncios!$B$6:$B$65,MATCH(C818,Anuncios!$A$6:$A$65,0)),"(no está en Anuncios)"))</f>
        <v/>
      </c>
      <c r="E818" s="39" t="n"/>
      <c r="F818" s="40" t="n"/>
      <c r="G818" s="40" t="n"/>
      <c r="H818" s="40" t="n"/>
      <c r="I818" s="39" t="n"/>
      <c r="J818" s="13">
        <f>IF(N(F818)&gt;0,G818/F818,"")</f>
        <v/>
      </c>
      <c r="K818" s="10">
        <f>IF(N(G818)&gt;0,E818/G818,"")</f>
        <v/>
      </c>
      <c r="L818" s="10">
        <f>IF(N(H818)&gt;0,E818/H818,"")</f>
        <v/>
      </c>
      <c r="M818" s="11">
        <f>IF(N(E818)&gt;0,I818/E818,"")</f>
        <v/>
      </c>
      <c r="N818" s="10">
        <f>IF(AND(E818="",I818=""),"",N(I818)*(1-COM-COM_SHOP)-N(E818)*(1+IMP_META))</f>
        <v/>
      </c>
      <c r="O818" s="37" t="n"/>
    </row>
    <row r="819">
      <c r="A819" s="36" t="n"/>
      <c r="B819" s="37" t="n"/>
      <c r="C819" s="37" t="n"/>
      <c r="D819" s="38">
        <f>IF(C819="","",IFERROR(INDEX(Anuncios!$B$6:$B$65,MATCH(C819,Anuncios!$A$6:$A$65,0)),"(no está en Anuncios)"))</f>
        <v/>
      </c>
      <c r="E819" s="39" t="n"/>
      <c r="F819" s="40" t="n"/>
      <c r="G819" s="40" t="n"/>
      <c r="H819" s="40" t="n"/>
      <c r="I819" s="39" t="n"/>
      <c r="J819" s="13">
        <f>IF(N(F819)&gt;0,G819/F819,"")</f>
        <v/>
      </c>
      <c r="K819" s="10">
        <f>IF(N(G819)&gt;0,E819/G819,"")</f>
        <v/>
      </c>
      <c r="L819" s="10">
        <f>IF(N(H819)&gt;0,E819/H819,"")</f>
        <v/>
      </c>
      <c r="M819" s="11">
        <f>IF(N(E819)&gt;0,I819/E819,"")</f>
        <v/>
      </c>
      <c r="N819" s="10">
        <f>IF(AND(E819="",I819=""),"",N(I819)*(1-COM-COM_SHOP)-N(E819)*(1+IMP_META))</f>
        <v/>
      </c>
      <c r="O819" s="37" t="n"/>
    </row>
    <row r="820">
      <c r="A820" s="36" t="n"/>
      <c r="B820" s="37" t="n"/>
      <c r="C820" s="37" t="n"/>
      <c r="D820" s="38">
        <f>IF(C820="","",IFERROR(INDEX(Anuncios!$B$6:$B$65,MATCH(C820,Anuncios!$A$6:$A$65,0)),"(no está en Anuncios)"))</f>
        <v/>
      </c>
      <c r="E820" s="39" t="n"/>
      <c r="F820" s="40" t="n"/>
      <c r="G820" s="40" t="n"/>
      <c r="H820" s="40" t="n"/>
      <c r="I820" s="39" t="n"/>
      <c r="J820" s="13">
        <f>IF(N(F820)&gt;0,G820/F820,"")</f>
        <v/>
      </c>
      <c r="K820" s="10">
        <f>IF(N(G820)&gt;0,E820/G820,"")</f>
        <v/>
      </c>
      <c r="L820" s="10">
        <f>IF(N(H820)&gt;0,E820/H820,"")</f>
        <v/>
      </c>
      <c r="M820" s="11">
        <f>IF(N(E820)&gt;0,I820/E820,"")</f>
        <v/>
      </c>
      <c r="N820" s="10">
        <f>IF(AND(E820="",I820=""),"",N(I820)*(1-COM-COM_SHOP)-N(E820)*(1+IMP_META))</f>
        <v/>
      </c>
      <c r="O820" s="37" t="n"/>
    </row>
    <row r="821">
      <c r="A821" s="36" t="n"/>
      <c r="B821" s="37" t="n"/>
      <c r="C821" s="37" t="n"/>
      <c r="D821" s="38">
        <f>IF(C821="","",IFERROR(INDEX(Anuncios!$B$6:$B$65,MATCH(C821,Anuncios!$A$6:$A$65,0)),"(no está en Anuncios)"))</f>
        <v/>
      </c>
      <c r="E821" s="39" t="n"/>
      <c r="F821" s="40" t="n"/>
      <c r="G821" s="40" t="n"/>
      <c r="H821" s="40" t="n"/>
      <c r="I821" s="39" t="n"/>
      <c r="J821" s="13">
        <f>IF(N(F821)&gt;0,G821/F821,"")</f>
        <v/>
      </c>
      <c r="K821" s="10">
        <f>IF(N(G821)&gt;0,E821/G821,"")</f>
        <v/>
      </c>
      <c r="L821" s="10">
        <f>IF(N(H821)&gt;0,E821/H821,"")</f>
        <v/>
      </c>
      <c r="M821" s="11">
        <f>IF(N(E821)&gt;0,I821/E821,"")</f>
        <v/>
      </c>
      <c r="N821" s="10">
        <f>IF(AND(E821="",I821=""),"",N(I821)*(1-COM-COM_SHOP)-N(E821)*(1+IMP_META))</f>
        <v/>
      </c>
      <c r="O821" s="37" t="n"/>
    </row>
    <row r="822">
      <c r="A822" s="36" t="n"/>
      <c r="B822" s="37" t="n"/>
      <c r="C822" s="37" t="n"/>
      <c r="D822" s="38">
        <f>IF(C822="","",IFERROR(INDEX(Anuncios!$B$6:$B$65,MATCH(C822,Anuncios!$A$6:$A$65,0)),"(no está en Anuncios)"))</f>
        <v/>
      </c>
      <c r="E822" s="39" t="n"/>
      <c r="F822" s="40" t="n"/>
      <c r="G822" s="40" t="n"/>
      <c r="H822" s="40" t="n"/>
      <c r="I822" s="39" t="n"/>
      <c r="J822" s="13">
        <f>IF(N(F822)&gt;0,G822/F822,"")</f>
        <v/>
      </c>
      <c r="K822" s="10">
        <f>IF(N(G822)&gt;0,E822/G822,"")</f>
        <v/>
      </c>
      <c r="L822" s="10">
        <f>IF(N(H822)&gt;0,E822/H822,"")</f>
        <v/>
      </c>
      <c r="M822" s="11">
        <f>IF(N(E822)&gt;0,I822/E822,"")</f>
        <v/>
      </c>
      <c r="N822" s="10">
        <f>IF(AND(E822="",I822=""),"",N(I822)*(1-COM-COM_SHOP)-N(E822)*(1+IMP_META))</f>
        <v/>
      </c>
      <c r="O822" s="37" t="n"/>
    </row>
    <row r="823">
      <c r="A823" s="36" t="n"/>
      <c r="B823" s="37" t="n"/>
      <c r="C823" s="37" t="n"/>
      <c r="D823" s="38">
        <f>IF(C823="","",IFERROR(INDEX(Anuncios!$B$6:$B$65,MATCH(C823,Anuncios!$A$6:$A$65,0)),"(no está en Anuncios)"))</f>
        <v/>
      </c>
      <c r="E823" s="39" t="n"/>
      <c r="F823" s="40" t="n"/>
      <c r="G823" s="40" t="n"/>
      <c r="H823" s="40" t="n"/>
      <c r="I823" s="39" t="n"/>
      <c r="J823" s="13">
        <f>IF(N(F823)&gt;0,G823/F823,"")</f>
        <v/>
      </c>
      <c r="K823" s="10">
        <f>IF(N(G823)&gt;0,E823/G823,"")</f>
        <v/>
      </c>
      <c r="L823" s="10">
        <f>IF(N(H823)&gt;0,E823/H823,"")</f>
        <v/>
      </c>
      <c r="M823" s="11">
        <f>IF(N(E823)&gt;0,I823/E823,"")</f>
        <v/>
      </c>
      <c r="N823" s="10">
        <f>IF(AND(E823="",I823=""),"",N(I823)*(1-COM-COM_SHOP)-N(E823)*(1+IMP_META))</f>
        <v/>
      </c>
      <c r="O823" s="37" t="n"/>
    </row>
    <row r="824">
      <c r="A824" s="36" t="n"/>
      <c r="B824" s="37" t="n"/>
      <c r="C824" s="37" t="n"/>
      <c r="D824" s="38">
        <f>IF(C824="","",IFERROR(INDEX(Anuncios!$B$6:$B$65,MATCH(C824,Anuncios!$A$6:$A$65,0)),"(no está en Anuncios)"))</f>
        <v/>
      </c>
      <c r="E824" s="39" t="n"/>
      <c r="F824" s="40" t="n"/>
      <c r="G824" s="40" t="n"/>
      <c r="H824" s="40" t="n"/>
      <c r="I824" s="39" t="n"/>
      <c r="J824" s="13">
        <f>IF(N(F824)&gt;0,G824/F824,"")</f>
        <v/>
      </c>
      <c r="K824" s="10">
        <f>IF(N(G824)&gt;0,E824/G824,"")</f>
        <v/>
      </c>
      <c r="L824" s="10">
        <f>IF(N(H824)&gt;0,E824/H824,"")</f>
        <v/>
      </c>
      <c r="M824" s="11">
        <f>IF(N(E824)&gt;0,I824/E824,"")</f>
        <v/>
      </c>
      <c r="N824" s="10">
        <f>IF(AND(E824="",I824=""),"",N(I824)*(1-COM-COM_SHOP)-N(E824)*(1+IMP_META))</f>
        <v/>
      </c>
      <c r="O824" s="37" t="n"/>
    </row>
    <row r="825">
      <c r="A825" s="36" t="n"/>
      <c r="B825" s="37" t="n"/>
      <c r="C825" s="37" t="n"/>
      <c r="D825" s="38">
        <f>IF(C825="","",IFERROR(INDEX(Anuncios!$B$6:$B$65,MATCH(C825,Anuncios!$A$6:$A$65,0)),"(no está en Anuncios)"))</f>
        <v/>
      </c>
      <c r="E825" s="39" t="n"/>
      <c r="F825" s="40" t="n"/>
      <c r="G825" s="40" t="n"/>
      <c r="H825" s="40" t="n"/>
      <c r="I825" s="39" t="n"/>
      <c r="J825" s="13">
        <f>IF(N(F825)&gt;0,G825/F825,"")</f>
        <v/>
      </c>
      <c r="K825" s="10">
        <f>IF(N(G825)&gt;0,E825/G825,"")</f>
        <v/>
      </c>
      <c r="L825" s="10">
        <f>IF(N(H825)&gt;0,E825/H825,"")</f>
        <v/>
      </c>
      <c r="M825" s="11">
        <f>IF(N(E825)&gt;0,I825/E825,"")</f>
        <v/>
      </c>
      <c r="N825" s="10">
        <f>IF(AND(E825="",I825=""),"",N(I825)*(1-COM-COM_SHOP)-N(E825)*(1+IMP_META))</f>
        <v/>
      </c>
      <c r="O825" s="37" t="n"/>
    </row>
    <row r="826">
      <c r="A826" s="36" t="n"/>
      <c r="B826" s="37" t="n"/>
      <c r="C826" s="37" t="n"/>
      <c r="D826" s="38">
        <f>IF(C826="","",IFERROR(INDEX(Anuncios!$B$6:$B$65,MATCH(C826,Anuncios!$A$6:$A$65,0)),"(no está en Anuncios)"))</f>
        <v/>
      </c>
      <c r="E826" s="39" t="n"/>
      <c r="F826" s="40" t="n"/>
      <c r="G826" s="40" t="n"/>
      <c r="H826" s="40" t="n"/>
      <c r="I826" s="39" t="n"/>
      <c r="J826" s="13">
        <f>IF(N(F826)&gt;0,G826/F826,"")</f>
        <v/>
      </c>
      <c r="K826" s="10">
        <f>IF(N(G826)&gt;0,E826/G826,"")</f>
        <v/>
      </c>
      <c r="L826" s="10">
        <f>IF(N(H826)&gt;0,E826/H826,"")</f>
        <v/>
      </c>
      <c r="M826" s="11">
        <f>IF(N(E826)&gt;0,I826/E826,"")</f>
        <v/>
      </c>
      <c r="N826" s="10">
        <f>IF(AND(E826="",I826=""),"",N(I826)*(1-COM-COM_SHOP)-N(E826)*(1+IMP_META))</f>
        <v/>
      </c>
      <c r="O826" s="37" t="n"/>
    </row>
    <row r="827">
      <c r="A827" s="36" t="n"/>
      <c r="B827" s="37" t="n"/>
      <c r="C827" s="37" t="n"/>
      <c r="D827" s="38">
        <f>IF(C827="","",IFERROR(INDEX(Anuncios!$B$6:$B$65,MATCH(C827,Anuncios!$A$6:$A$65,0)),"(no está en Anuncios)"))</f>
        <v/>
      </c>
      <c r="E827" s="39" t="n"/>
      <c r="F827" s="40" t="n"/>
      <c r="G827" s="40" t="n"/>
      <c r="H827" s="40" t="n"/>
      <c r="I827" s="39" t="n"/>
      <c r="J827" s="13">
        <f>IF(N(F827)&gt;0,G827/F827,"")</f>
        <v/>
      </c>
      <c r="K827" s="10">
        <f>IF(N(G827)&gt;0,E827/G827,"")</f>
        <v/>
      </c>
      <c r="L827" s="10">
        <f>IF(N(H827)&gt;0,E827/H827,"")</f>
        <v/>
      </c>
      <c r="M827" s="11">
        <f>IF(N(E827)&gt;0,I827/E827,"")</f>
        <v/>
      </c>
      <c r="N827" s="10">
        <f>IF(AND(E827="",I827=""),"",N(I827)*(1-COM-COM_SHOP)-N(E827)*(1+IMP_META))</f>
        <v/>
      </c>
      <c r="O827" s="37" t="n"/>
    </row>
    <row r="828">
      <c r="A828" s="36" t="n"/>
      <c r="B828" s="37" t="n"/>
      <c r="C828" s="37" t="n"/>
      <c r="D828" s="38">
        <f>IF(C828="","",IFERROR(INDEX(Anuncios!$B$6:$B$65,MATCH(C828,Anuncios!$A$6:$A$65,0)),"(no está en Anuncios)"))</f>
        <v/>
      </c>
      <c r="E828" s="39" t="n"/>
      <c r="F828" s="40" t="n"/>
      <c r="G828" s="40" t="n"/>
      <c r="H828" s="40" t="n"/>
      <c r="I828" s="39" t="n"/>
      <c r="J828" s="13">
        <f>IF(N(F828)&gt;0,G828/F828,"")</f>
        <v/>
      </c>
      <c r="K828" s="10">
        <f>IF(N(G828)&gt;0,E828/G828,"")</f>
        <v/>
      </c>
      <c r="L828" s="10">
        <f>IF(N(H828)&gt;0,E828/H828,"")</f>
        <v/>
      </c>
      <c r="M828" s="11">
        <f>IF(N(E828)&gt;0,I828/E828,"")</f>
        <v/>
      </c>
      <c r="N828" s="10">
        <f>IF(AND(E828="",I828=""),"",N(I828)*(1-COM-COM_SHOP)-N(E828)*(1+IMP_META))</f>
        <v/>
      </c>
      <c r="O828" s="37" t="n"/>
    </row>
    <row r="829">
      <c r="A829" s="36" t="n"/>
      <c r="B829" s="37" t="n"/>
      <c r="C829" s="37" t="n"/>
      <c r="D829" s="38">
        <f>IF(C829="","",IFERROR(INDEX(Anuncios!$B$6:$B$65,MATCH(C829,Anuncios!$A$6:$A$65,0)),"(no está en Anuncios)"))</f>
        <v/>
      </c>
      <c r="E829" s="39" t="n"/>
      <c r="F829" s="40" t="n"/>
      <c r="G829" s="40" t="n"/>
      <c r="H829" s="40" t="n"/>
      <c r="I829" s="39" t="n"/>
      <c r="J829" s="13">
        <f>IF(N(F829)&gt;0,G829/F829,"")</f>
        <v/>
      </c>
      <c r="K829" s="10">
        <f>IF(N(G829)&gt;0,E829/G829,"")</f>
        <v/>
      </c>
      <c r="L829" s="10">
        <f>IF(N(H829)&gt;0,E829/H829,"")</f>
        <v/>
      </c>
      <c r="M829" s="11">
        <f>IF(N(E829)&gt;0,I829/E829,"")</f>
        <v/>
      </c>
      <c r="N829" s="10">
        <f>IF(AND(E829="",I829=""),"",N(I829)*(1-COM-COM_SHOP)-N(E829)*(1+IMP_META))</f>
        <v/>
      </c>
      <c r="O829" s="37" t="n"/>
    </row>
    <row r="830">
      <c r="A830" s="36" t="n"/>
      <c r="B830" s="37" t="n"/>
      <c r="C830" s="37" t="n"/>
      <c r="D830" s="38">
        <f>IF(C830="","",IFERROR(INDEX(Anuncios!$B$6:$B$65,MATCH(C830,Anuncios!$A$6:$A$65,0)),"(no está en Anuncios)"))</f>
        <v/>
      </c>
      <c r="E830" s="39" t="n"/>
      <c r="F830" s="40" t="n"/>
      <c r="G830" s="40" t="n"/>
      <c r="H830" s="40" t="n"/>
      <c r="I830" s="39" t="n"/>
      <c r="J830" s="13">
        <f>IF(N(F830)&gt;0,G830/F830,"")</f>
        <v/>
      </c>
      <c r="K830" s="10">
        <f>IF(N(G830)&gt;0,E830/G830,"")</f>
        <v/>
      </c>
      <c r="L830" s="10">
        <f>IF(N(H830)&gt;0,E830/H830,"")</f>
        <v/>
      </c>
      <c r="M830" s="11">
        <f>IF(N(E830)&gt;0,I830/E830,"")</f>
        <v/>
      </c>
      <c r="N830" s="10">
        <f>IF(AND(E830="",I830=""),"",N(I830)*(1-COM-COM_SHOP)-N(E830)*(1+IMP_META))</f>
        <v/>
      </c>
      <c r="O830" s="37" t="n"/>
    </row>
    <row r="831">
      <c r="A831" s="36" t="n"/>
      <c r="B831" s="37" t="n"/>
      <c r="C831" s="37" t="n"/>
      <c r="D831" s="38">
        <f>IF(C831="","",IFERROR(INDEX(Anuncios!$B$6:$B$65,MATCH(C831,Anuncios!$A$6:$A$65,0)),"(no está en Anuncios)"))</f>
        <v/>
      </c>
      <c r="E831" s="39" t="n"/>
      <c r="F831" s="40" t="n"/>
      <c r="G831" s="40" t="n"/>
      <c r="H831" s="40" t="n"/>
      <c r="I831" s="39" t="n"/>
      <c r="J831" s="13">
        <f>IF(N(F831)&gt;0,G831/F831,"")</f>
        <v/>
      </c>
      <c r="K831" s="10">
        <f>IF(N(G831)&gt;0,E831/G831,"")</f>
        <v/>
      </c>
      <c r="L831" s="10">
        <f>IF(N(H831)&gt;0,E831/H831,"")</f>
        <v/>
      </c>
      <c r="M831" s="11">
        <f>IF(N(E831)&gt;0,I831/E831,"")</f>
        <v/>
      </c>
      <c r="N831" s="10">
        <f>IF(AND(E831="",I831=""),"",N(I831)*(1-COM-COM_SHOP)-N(E831)*(1+IMP_META))</f>
        <v/>
      </c>
      <c r="O831" s="37" t="n"/>
    </row>
    <row r="832">
      <c r="A832" s="36" t="n"/>
      <c r="B832" s="37" t="n"/>
      <c r="C832" s="37" t="n"/>
      <c r="D832" s="38">
        <f>IF(C832="","",IFERROR(INDEX(Anuncios!$B$6:$B$65,MATCH(C832,Anuncios!$A$6:$A$65,0)),"(no está en Anuncios)"))</f>
        <v/>
      </c>
      <c r="E832" s="39" t="n"/>
      <c r="F832" s="40" t="n"/>
      <c r="G832" s="40" t="n"/>
      <c r="H832" s="40" t="n"/>
      <c r="I832" s="39" t="n"/>
      <c r="J832" s="13">
        <f>IF(N(F832)&gt;0,G832/F832,"")</f>
        <v/>
      </c>
      <c r="K832" s="10">
        <f>IF(N(G832)&gt;0,E832/G832,"")</f>
        <v/>
      </c>
      <c r="L832" s="10">
        <f>IF(N(H832)&gt;0,E832/H832,"")</f>
        <v/>
      </c>
      <c r="M832" s="11">
        <f>IF(N(E832)&gt;0,I832/E832,"")</f>
        <v/>
      </c>
      <c r="N832" s="10">
        <f>IF(AND(E832="",I832=""),"",N(I832)*(1-COM-COM_SHOP)-N(E832)*(1+IMP_META))</f>
        <v/>
      </c>
      <c r="O832" s="37" t="n"/>
    </row>
    <row r="833">
      <c r="A833" s="36" t="n"/>
      <c r="B833" s="37" t="n"/>
      <c r="C833" s="37" t="n"/>
      <c r="D833" s="38">
        <f>IF(C833="","",IFERROR(INDEX(Anuncios!$B$6:$B$65,MATCH(C833,Anuncios!$A$6:$A$65,0)),"(no está en Anuncios)"))</f>
        <v/>
      </c>
      <c r="E833" s="39" t="n"/>
      <c r="F833" s="40" t="n"/>
      <c r="G833" s="40" t="n"/>
      <c r="H833" s="40" t="n"/>
      <c r="I833" s="39" t="n"/>
      <c r="J833" s="13">
        <f>IF(N(F833)&gt;0,G833/F833,"")</f>
        <v/>
      </c>
      <c r="K833" s="10">
        <f>IF(N(G833)&gt;0,E833/G833,"")</f>
        <v/>
      </c>
      <c r="L833" s="10">
        <f>IF(N(H833)&gt;0,E833/H833,"")</f>
        <v/>
      </c>
      <c r="M833" s="11">
        <f>IF(N(E833)&gt;0,I833/E833,"")</f>
        <v/>
      </c>
      <c r="N833" s="10">
        <f>IF(AND(E833="",I833=""),"",N(I833)*(1-COM-COM_SHOP)-N(E833)*(1+IMP_META))</f>
        <v/>
      </c>
      <c r="O833" s="37" t="n"/>
    </row>
    <row r="834">
      <c r="A834" s="36" t="n"/>
      <c r="B834" s="37" t="n"/>
      <c r="C834" s="37" t="n"/>
      <c r="D834" s="38">
        <f>IF(C834="","",IFERROR(INDEX(Anuncios!$B$6:$B$65,MATCH(C834,Anuncios!$A$6:$A$65,0)),"(no está en Anuncios)"))</f>
        <v/>
      </c>
      <c r="E834" s="39" t="n"/>
      <c r="F834" s="40" t="n"/>
      <c r="G834" s="40" t="n"/>
      <c r="H834" s="40" t="n"/>
      <c r="I834" s="39" t="n"/>
      <c r="J834" s="13">
        <f>IF(N(F834)&gt;0,G834/F834,"")</f>
        <v/>
      </c>
      <c r="K834" s="10">
        <f>IF(N(G834)&gt;0,E834/G834,"")</f>
        <v/>
      </c>
      <c r="L834" s="10">
        <f>IF(N(H834)&gt;0,E834/H834,"")</f>
        <v/>
      </c>
      <c r="M834" s="11">
        <f>IF(N(E834)&gt;0,I834/E834,"")</f>
        <v/>
      </c>
      <c r="N834" s="10">
        <f>IF(AND(E834="",I834=""),"",N(I834)*(1-COM-COM_SHOP)-N(E834)*(1+IMP_META))</f>
        <v/>
      </c>
      <c r="O834" s="37" t="n"/>
    </row>
    <row r="835">
      <c r="A835" s="36" t="n"/>
      <c r="B835" s="37" t="n"/>
      <c r="C835" s="37" t="n"/>
      <c r="D835" s="38">
        <f>IF(C835="","",IFERROR(INDEX(Anuncios!$B$6:$B$65,MATCH(C835,Anuncios!$A$6:$A$65,0)),"(no está en Anuncios)"))</f>
        <v/>
      </c>
      <c r="E835" s="39" t="n"/>
      <c r="F835" s="40" t="n"/>
      <c r="G835" s="40" t="n"/>
      <c r="H835" s="40" t="n"/>
      <c r="I835" s="39" t="n"/>
      <c r="J835" s="13">
        <f>IF(N(F835)&gt;0,G835/F835,"")</f>
        <v/>
      </c>
      <c r="K835" s="10">
        <f>IF(N(G835)&gt;0,E835/G835,"")</f>
        <v/>
      </c>
      <c r="L835" s="10">
        <f>IF(N(H835)&gt;0,E835/H835,"")</f>
        <v/>
      </c>
      <c r="M835" s="11">
        <f>IF(N(E835)&gt;0,I835/E835,"")</f>
        <v/>
      </c>
      <c r="N835" s="10">
        <f>IF(AND(E835="",I835=""),"",N(I835)*(1-COM-COM_SHOP)-N(E835)*(1+IMP_META))</f>
        <v/>
      </c>
      <c r="O835" s="37" t="n"/>
    </row>
    <row r="836">
      <c r="A836" s="36" t="n"/>
      <c r="B836" s="37" t="n"/>
      <c r="C836" s="37" t="n"/>
      <c r="D836" s="38">
        <f>IF(C836="","",IFERROR(INDEX(Anuncios!$B$6:$B$65,MATCH(C836,Anuncios!$A$6:$A$65,0)),"(no está en Anuncios)"))</f>
        <v/>
      </c>
      <c r="E836" s="39" t="n"/>
      <c r="F836" s="40" t="n"/>
      <c r="G836" s="40" t="n"/>
      <c r="H836" s="40" t="n"/>
      <c r="I836" s="39" t="n"/>
      <c r="J836" s="13">
        <f>IF(N(F836)&gt;0,G836/F836,"")</f>
        <v/>
      </c>
      <c r="K836" s="10">
        <f>IF(N(G836)&gt;0,E836/G836,"")</f>
        <v/>
      </c>
      <c r="L836" s="10">
        <f>IF(N(H836)&gt;0,E836/H836,"")</f>
        <v/>
      </c>
      <c r="M836" s="11">
        <f>IF(N(E836)&gt;0,I836/E836,"")</f>
        <v/>
      </c>
      <c r="N836" s="10">
        <f>IF(AND(E836="",I836=""),"",N(I836)*(1-COM-COM_SHOP)-N(E836)*(1+IMP_META))</f>
        <v/>
      </c>
      <c r="O836" s="37" t="n"/>
    </row>
    <row r="837">
      <c r="A837" s="36" t="n"/>
      <c r="B837" s="37" t="n"/>
      <c r="C837" s="37" t="n"/>
      <c r="D837" s="38">
        <f>IF(C837="","",IFERROR(INDEX(Anuncios!$B$6:$B$65,MATCH(C837,Anuncios!$A$6:$A$65,0)),"(no está en Anuncios)"))</f>
        <v/>
      </c>
      <c r="E837" s="39" t="n"/>
      <c r="F837" s="40" t="n"/>
      <c r="G837" s="40" t="n"/>
      <c r="H837" s="40" t="n"/>
      <c r="I837" s="39" t="n"/>
      <c r="J837" s="13">
        <f>IF(N(F837)&gt;0,G837/F837,"")</f>
        <v/>
      </c>
      <c r="K837" s="10">
        <f>IF(N(G837)&gt;0,E837/G837,"")</f>
        <v/>
      </c>
      <c r="L837" s="10">
        <f>IF(N(H837)&gt;0,E837/H837,"")</f>
        <v/>
      </c>
      <c r="M837" s="11">
        <f>IF(N(E837)&gt;0,I837/E837,"")</f>
        <v/>
      </c>
      <c r="N837" s="10">
        <f>IF(AND(E837="",I837=""),"",N(I837)*(1-COM-COM_SHOP)-N(E837)*(1+IMP_META))</f>
        <v/>
      </c>
      <c r="O837" s="37" t="n"/>
    </row>
    <row r="838">
      <c r="A838" s="36" t="n"/>
      <c r="B838" s="37" t="n"/>
      <c r="C838" s="37" t="n"/>
      <c r="D838" s="38">
        <f>IF(C838="","",IFERROR(INDEX(Anuncios!$B$6:$B$65,MATCH(C838,Anuncios!$A$6:$A$65,0)),"(no está en Anuncios)"))</f>
        <v/>
      </c>
      <c r="E838" s="39" t="n"/>
      <c r="F838" s="40" t="n"/>
      <c r="G838" s="40" t="n"/>
      <c r="H838" s="40" t="n"/>
      <c r="I838" s="39" t="n"/>
      <c r="J838" s="13">
        <f>IF(N(F838)&gt;0,G838/F838,"")</f>
        <v/>
      </c>
      <c r="K838" s="10">
        <f>IF(N(G838)&gt;0,E838/G838,"")</f>
        <v/>
      </c>
      <c r="L838" s="10">
        <f>IF(N(H838)&gt;0,E838/H838,"")</f>
        <v/>
      </c>
      <c r="M838" s="11">
        <f>IF(N(E838)&gt;0,I838/E838,"")</f>
        <v/>
      </c>
      <c r="N838" s="10">
        <f>IF(AND(E838="",I838=""),"",N(I838)*(1-COM-COM_SHOP)-N(E838)*(1+IMP_META))</f>
        <v/>
      </c>
      <c r="O838" s="37" t="n"/>
    </row>
    <row r="839">
      <c r="A839" s="36" t="n"/>
      <c r="B839" s="37" t="n"/>
      <c r="C839" s="37" t="n"/>
      <c r="D839" s="38">
        <f>IF(C839="","",IFERROR(INDEX(Anuncios!$B$6:$B$65,MATCH(C839,Anuncios!$A$6:$A$65,0)),"(no está en Anuncios)"))</f>
        <v/>
      </c>
      <c r="E839" s="39" t="n"/>
      <c r="F839" s="40" t="n"/>
      <c r="G839" s="40" t="n"/>
      <c r="H839" s="40" t="n"/>
      <c r="I839" s="39" t="n"/>
      <c r="J839" s="13">
        <f>IF(N(F839)&gt;0,G839/F839,"")</f>
        <v/>
      </c>
      <c r="K839" s="10">
        <f>IF(N(G839)&gt;0,E839/G839,"")</f>
        <v/>
      </c>
      <c r="L839" s="10">
        <f>IF(N(H839)&gt;0,E839/H839,"")</f>
        <v/>
      </c>
      <c r="M839" s="11">
        <f>IF(N(E839)&gt;0,I839/E839,"")</f>
        <v/>
      </c>
      <c r="N839" s="10">
        <f>IF(AND(E839="",I839=""),"",N(I839)*(1-COM-COM_SHOP)-N(E839)*(1+IMP_META))</f>
        <v/>
      </c>
      <c r="O839" s="37" t="n"/>
    </row>
    <row r="840">
      <c r="A840" s="36" t="n"/>
      <c r="B840" s="37" t="n"/>
      <c r="C840" s="37" t="n"/>
      <c r="D840" s="38">
        <f>IF(C840="","",IFERROR(INDEX(Anuncios!$B$6:$B$65,MATCH(C840,Anuncios!$A$6:$A$65,0)),"(no está en Anuncios)"))</f>
        <v/>
      </c>
      <c r="E840" s="39" t="n"/>
      <c r="F840" s="40" t="n"/>
      <c r="G840" s="40" t="n"/>
      <c r="H840" s="40" t="n"/>
      <c r="I840" s="39" t="n"/>
      <c r="J840" s="13">
        <f>IF(N(F840)&gt;0,G840/F840,"")</f>
        <v/>
      </c>
      <c r="K840" s="10">
        <f>IF(N(G840)&gt;0,E840/G840,"")</f>
        <v/>
      </c>
      <c r="L840" s="10">
        <f>IF(N(H840)&gt;0,E840/H840,"")</f>
        <v/>
      </c>
      <c r="M840" s="11">
        <f>IF(N(E840)&gt;0,I840/E840,"")</f>
        <v/>
      </c>
      <c r="N840" s="10">
        <f>IF(AND(E840="",I840=""),"",N(I840)*(1-COM-COM_SHOP)-N(E840)*(1+IMP_META))</f>
        <v/>
      </c>
      <c r="O840" s="37" t="n"/>
    </row>
    <row r="841">
      <c r="A841" s="36" t="n"/>
      <c r="B841" s="37" t="n"/>
      <c r="C841" s="37" t="n"/>
      <c r="D841" s="38">
        <f>IF(C841="","",IFERROR(INDEX(Anuncios!$B$6:$B$65,MATCH(C841,Anuncios!$A$6:$A$65,0)),"(no está en Anuncios)"))</f>
        <v/>
      </c>
      <c r="E841" s="39" t="n"/>
      <c r="F841" s="40" t="n"/>
      <c r="G841" s="40" t="n"/>
      <c r="H841" s="40" t="n"/>
      <c r="I841" s="39" t="n"/>
      <c r="J841" s="13">
        <f>IF(N(F841)&gt;0,G841/F841,"")</f>
        <v/>
      </c>
      <c r="K841" s="10">
        <f>IF(N(G841)&gt;0,E841/G841,"")</f>
        <v/>
      </c>
      <c r="L841" s="10">
        <f>IF(N(H841)&gt;0,E841/H841,"")</f>
        <v/>
      </c>
      <c r="M841" s="11">
        <f>IF(N(E841)&gt;0,I841/E841,"")</f>
        <v/>
      </c>
      <c r="N841" s="10">
        <f>IF(AND(E841="",I841=""),"",N(I841)*(1-COM-COM_SHOP)-N(E841)*(1+IMP_META))</f>
        <v/>
      </c>
      <c r="O841" s="37" t="n"/>
    </row>
    <row r="842">
      <c r="A842" s="36" t="n"/>
      <c r="B842" s="37" t="n"/>
      <c r="C842" s="37" t="n"/>
      <c r="D842" s="38">
        <f>IF(C842="","",IFERROR(INDEX(Anuncios!$B$6:$B$65,MATCH(C842,Anuncios!$A$6:$A$65,0)),"(no está en Anuncios)"))</f>
        <v/>
      </c>
      <c r="E842" s="39" t="n"/>
      <c r="F842" s="40" t="n"/>
      <c r="G842" s="40" t="n"/>
      <c r="H842" s="40" t="n"/>
      <c r="I842" s="39" t="n"/>
      <c r="J842" s="13">
        <f>IF(N(F842)&gt;0,G842/F842,"")</f>
        <v/>
      </c>
      <c r="K842" s="10">
        <f>IF(N(G842)&gt;0,E842/G842,"")</f>
        <v/>
      </c>
      <c r="L842" s="10">
        <f>IF(N(H842)&gt;0,E842/H842,"")</f>
        <v/>
      </c>
      <c r="M842" s="11">
        <f>IF(N(E842)&gt;0,I842/E842,"")</f>
        <v/>
      </c>
      <c r="N842" s="10">
        <f>IF(AND(E842="",I842=""),"",N(I842)*(1-COM-COM_SHOP)-N(E842)*(1+IMP_META))</f>
        <v/>
      </c>
      <c r="O842" s="37" t="n"/>
    </row>
    <row r="843">
      <c r="A843" s="36" t="n"/>
      <c r="B843" s="37" t="n"/>
      <c r="C843" s="37" t="n"/>
      <c r="D843" s="38">
        <f>IF(C843="","",IFERROR(INDEX(Anuncios!$B$6:$B$65,MATCH(C843,Anuncios!$A$6:$A$65,0)),"(no está en Anuncios)"))</f>
        <v/>
      </c>
      <c r="E843" s="39" t="n"/>
      <c r="F843" s="40" t="n"/>
      <c r="G843" s="40" t="n"/>
      <c r="H843" s="40" t="n"/>
      <c r="I843" s="39" t="n"/>
      <c r="J843" s="13">
        <f>IF(N(F843)&gt;0,G843/F843,"")</f>
        <v/>
      </c>
      <c r="K843" s="10">
        <f>IF(N(G843)&gt;0,E843/G843,"")</f>
        <v/>
      </c>
      <c r="L843" s="10">
        <f>IF(N(H843)&gt;0,E843/H843,"")</f>
        <v/>
      </c>
      <c r="M843" s="11">
        <f>IF(N(E843)&gt;0,I843/E843,"")</f>
        <v/>
      </c>
      <c r="N843" s="10">
        <f>IF(AND(E843="",I843=""),"",N(I843)*(1-COM-COM_SHOP)-N(E843)*(1+IMP_META))</f>
        <v/>
      </c>
      <c r="O843" s="37" t="n"/>
    </row>
    <row r="844">
      <c r="A844" s="36" t="n"/>
      <c r="B844" s="37" t="n"/>
      <c r="C844" s="37" t="n"/>
      <c r="D844" s="38">
        <f>IF(C844="","",IFERROR(INDEX(Anuncios!$B$6:$B$65,MATCH(C844,Anuncios!$A$6:$A$65,0)),"(no está en Anuncios)"))</f>
        <v/>
      </c>
      <c r="E844" s="39" t="n"/>
      <c r="F844" s="40" t="n"/>
      <c r="G844" s="40" t="n"/>
      <c r="H844" s="40" t="n"/>
      <c r="I844" s="39" t="n"/>
      <c r="J844" s="13">
        <f>IF(N(F844)&gt;0,G844/F844,"")</f>
        <v/>
      </c>
      <c r="K844" s="10">
        <f>IF(N(G844)&gt;0,E844/G844,"")</f>
        <v/>
      </c>
      <c r="L844" s="10">
        <f>IF(N(H844)&gt;0,E844/H844,"")</f>
        <v/>
      </c>
      <c r="M844" s="11">
        <f>IF(N(E844)&gt;0,I844/E844,"")</f>
        <v/>
      </c>
      <c r="N844" s="10">
        <f>IF(AND(E844="",I844=""),"",N(I844)*(1-COM-COM_SHOP)-N(E844)*(1+IMP_META))</f>
        <v/>
      </c>
      <c r="O844" s="37" t="n"/>
    </row>
    <row r="845">
      <c r="A845" s="36" t="n"/>
      <c r="B845" s="37" t="n"/>
      <c r="C845" s="37" t="n"/>
      <c r="D845" s="38">
        <f>IF(C845="","",IFERROR(INDEX(Anuncios!$B$6:$B$65,MATCH(C845,Anuncios!$A$6:$A$65,0)),"(no está en Anuncios)"))</f>
        <v/>
      </c>
      <c r="E845" s="39" t="n"/>
      <c r="F845" s="40" t="n"/>
      <c r="G845" s="40" t="n"/>
      <c r="H845" s="40" t="n"/>
      <c r="I845" s="39" t="n"/>
      <c r="J845" s="13">
        <f>IF(N(F845)&gt;0,G845/F845,"")</f>
        <v/>
      </c>
      <c r="K845" s="10">
        <f>IF(N(G845)&gt;0,E845/G845,"")</f>
        <v/>
      </c>
      <c r="L845" s="10">
        <f>IF(N(H845)&gt;0,E845/H845,"")</f>
        <v/>
      </c>
      <c r="M845" s="11">
        <f>IF(N(E845)&gt;0,I845/E845,"")</f>
        <v/>
      </c>
      <c r="N845" s="10">
        <f>IF(AND(E845="",I845=""),"",N(I845)*(1-COM-COM_SHOP)-N(E845)*(1+IMP_META))</f>
        <v/>
      </c>
      <c r="O845" s="37" t="n"/>
    </row>
    <row r="846">
      <c r="A846" s="36" t="n"/>
      <c r="B846" s="37" t="n"/>
      <c r="C846" s="37" t="n"/>
      <c r="D846" s="38">
        <f>IF(C846="","",IFERROR(INDEX(Anuncios!$B$6:$B$65,MATCH(C846,Anuncios!$A$6:$A$65,0)),"(no está en Anuncios)"))</f>
        <v/>
      </c>
      <c r="E846" s="39" t="n"/>
      <c r="F846" s="40" t="n"/>
      <c r="G846" s="40" t="n"/>
      <c r="H846" s="40" t="n"/>
      <c r="I846" s="39" t="n"/>
      <c r="J846" s="13">
        <f>IF(N(F846)&gt;0,G846/F846,"")</f>
        <v/>
      </c>
      <c r="K846" s="10">
        <f>IF(N(G846)&gt;0,E846/G846,"")</f>
        <v/>
      </c>
      <c r="L846" s="10">
        <f>IF(N(H846)&gt;0,E846/H846,"")</f>
        <v/>
      </c>
      <c r="M846" s="11">
        <f>IF(N(E846)&gt;0,I846/E846,"")</f>
        <v/>
      </c>
      <c r="N846" s="10">
        <f>IF(AND(E846="",I846=""),"",N(I846)*(1-COM-COM_SHOP)-N(E846)*(1+IMP_META))</f>
        <v/>
      </c>
      <c r="O846" s="37" t="n"/>
    </row>
    <row r="847">
      <c r="A847" s="36" t="n"/>
      <c r="B847" s="37" t="n"/>
      <c r="C847" s="37" t="n"/>
      <c r="D847" s="38">
        <f>IF(C847="","",IFERROR(INDEX(Anuncios!$B$6:$B$65,MATCH(C847,Anuncios!$A$6:$A$65,0)),"(no está en Anuncios)"))</f>
        <v/>
      </c>
      <c r="E847" s="39" t="n"/>
      <c r="F847" s="40" t="n"/>
      <c r="G847" s="40" t="n"/>
      <c r="H847" s="40" t="n"/>
      <c r="I847" s="39" t="n"/>
      <c r="J847" s="13">
        <f>IF(N(F847)&gt;0,G847/F847,"")</f>
        <v/>
      </c>
      <c r="K847" s="10">
        <f>IF(N(G847)&gt;0,E847/G847,"")</f>
        <v/>
      </c>
      <c r="L847" s="10">
        <f>IF(N(H847)&gt;0,E847/H847,"")</f>
        <v/>
      </c>
      <c r="M847" s="11">
        <f>IF(N(E847)&gt;0,I847/E847,"")</f>
        <v/>
      </c>
      <c r="N847" s="10">
        <f>IF(AND(E847="",I847=""),"",N(I847)*(1-COM-COM_SHOP)-N(E847)*(1+IMP_META))</f>
        <v/>
      </c>
      <c r="O847" s="37" t="n"/>
    </row>
    <row r="848">
      <c r="A848" s="36" t="n"/>
      <c r="B848" s="37" t="n"/>
      <c r="C848" s="37" t="n"/>
      <c r="D848" s="38">
        <f>IF(C848="","",IFERROR(INDEX(Anuncios!$B$6:$B$65,MATCH(C848,Anuncios!$A$6:$A$65,0)),"(no está en Anuncios)"))</f>
        <v/>
      </c>
      <c r="E848" s="39" t="n"/>
      <c r="F848" s="40" t="n"/>
      <c r="G848" s="40" t="n"/>
      <c r="H848" s="40" t="n"/>
      <c r="I848" s="39" t="n"/>
      <c r="J848" s="13">
        <f>IF(N(F848)&gt;0,G848/F848,"")</f>
        <v/>
      </c>
      <c r="K848" s="10">
        <f>IF(N(G848)&gt;0,E848/G848,"")</f>
        <v/>
      </c>
      <c r="L848" s="10">
        <f>IF(N(H848)&gt;0,E848/H848,"")</f>
        <v/>
      </c>
      <c r="M848" s="11">
        <f>IF(N(E848)&gt;0,I848/E848,"")</f>
        <v/>
      </c>
      <c r="N848" s="10">
        <f>IF(AND(E848="",I848=""),"",N(I848)*(1-COM-COM_SHOP)-N(E848)*(1+IMP_META))</f>
        <v/>
      </c>
      <c r="O848" s="37" t="n"/>
    </row>
    <row r="849">
      <c r="A849" s="36" t="n"/>
      <c r="B849" s="37" t="n"/>
      <c r="C849" s="37" t="n"/>
      <c r="D849" s="38">
        <f>IF(C849="","",IFERROR(INDEX(Anuncios!$B$6:$B$65,MATCH(C849,Anuncios!$A$6:$A$65,0)),"(no está en Anuncios)"))</f>
        <v/>
      </c>
      <c r="E849" s="39" t="n"/>
      <c r="F849" s="40" t="n"/>
      <c r="G849" s="40" t="n"/>
      <c r="H849" s="40" t="n"/>
      <c r="I849" s="39" t="n"/>
      <c r="J849" s="13">
        <f>IF(N(F849)&gt;0,G849/F849,"")</f>
        <v/>
      </c>
      <c r="K849" s="10">
        <f>IF(N(G849)&gt;0,E849/G849,"")</f>
        <v/>
      </c>
      <c r="L849" s="10">
        <f>IF(N(H849)&gt;0,E849/H849,"")</f>
        <v/>
      </c>
      <c r="M849" s="11">
        <f>IF(N(E849)&gt;0,I849/E849,"")</f>
        <v/>
      </c>
      <c r="N849" s="10">
        <f>IF(AND(E849="",I849=""),"",N(I849)*(1-COM-COM_SHOP)-N(E849)*(1+IMP_META))</f>
        <v/>
      </c>
      <c r="O849" s="37" t="n"/>
    </row>
    <row r="850">
      <c r="A850" s="36" t="n"/>
      <c r="B850" s="37" t="n"/>
      <c r="C850" s="37" t="n"/>
      <c r="D850" s="38">
        <f>IF(C850="","",IFERROR(INDEX(Anuncios!$B$6:$B$65,MATCH(C850,Anuncios!$A$6:$A$65,0)),"(no está en Anuncios)"))</f>
        <v/>
      </c>
      <c r="E850" s="39" t="n"/>
      <c r="F850" s="40" t="n"/>
      <c r="G850" s="40" t="n"/>
      <c r="H850" s="40" t="n"/>
      <c r="I850" s="39" t="n"/>
      <c r="J850" s="13">
        <f>IF(N(F850)&gt;0,G850/F850,"")</f>
        <v/>
      </c>
      <c r="K850" s="10">
        <f>IF(N(G850)&gt;0,E850/G850,"")</f>
        <v/>
      </c>
      <c r="L850" s="10">
        <f>IF(N(H850)&gt;0,E850/H850,"")</f>
        <v/>
      </c>
      <c r="M850" s="11">
        <f>IF(N(E850)&gt;0,I850/E850,"")</f>
        <v/>
      </c>
      <c r="N850" s="10">
        <f>IF(AND(E850="",I850=""),"",N(I850)*(1-COM-COM_SHOP)-N(E850)*(1+IMP_META))</f>
        <v/>
      </c>
      <c r="O850" s="37" t="n"/>
    </row>
    <row r="851">
      <c r="A851" s="36" t="n"/>
      <c r="B851" s="37" t="n"/>
      <c r="C851" s="37" t="n"/>
      <c r="D851" s="38">
        <f>IF(C851="","",IFERROR(INDEX(Anuncios!$B$6:$B$65,MATCH(C851,Anuncios!$A$6:$A$65,0)),"(no está en Anuncios)"))</f>
        <v/>
      </c>
      <c r="E851" s="39" t="n"/>
      <c r="F851" s="40" t="n"/>
      <c r="G851" s="40" t="n"/>
      <c r="H851" s="40" t="n"/>
      <c r="I851" s="39" t="n"/>
      <c r="J851" s="13">
        <f>IF(N(F851)&gt;0,G851/F851,"")</f>
        <v/>
      </c>
      <c r="K851" s="10">
        <f>IF(N(G851)&gt;0,E851/G851,"")</f>
        <v/>
      </c>
      <c r="L851" s="10">
        <f>IF(N(H851)&gt;0,E851/H851,"")</f>
        <v/>
      </c>
      <c r="M851" s="11">
        <f>IF(N(E851)&gt;0,I851/E851,"")</f>
        <v/>
      </c>
      <c r="N851" s="10">
        <f>IF(AND(E851="",I851=""),"",N(I851)*(1-COM-COM_SHOP)-N(E851)*(1+IMP_META))</f>
        <v/>
      </c>
      <c r="O851" s="37" t="n"/>
    </row>
    <row r="852">
      <c r="A852" s="36" t="n"/>
      <c r="B852" s="37" t="n"/>
      <c r="C852" s="37" t="n"/>
      <c r="D852" s="38">
        <f>IF(C852="","",IFERROR(INDEX(Anuncios!$B$6:$B$65,MATCH(C852,Anuncios!$A$6:$A$65,0)),"(no está en Anuncios)"))</f>
        <v/>
      </c>
      <c r="E852" s="39" t="n"/>
      <c r="F852" s="40" t="n"/>
      <c r="G852" s="40" t="n"/>
      <c r="H852" s="40" t="n"/>
      <c r="I852" s="39" t="n"/>
      <c r="J852" s="13">
        <f>IF(N(F852)&gt;0,G852/F852,"")</f>
        <v/>
      </c>
      <c r="K852" s="10">
        <f>IF(N(G852)&gt;0,E852/G852,"")</f>
        <v/>
      </c>
      <c r="L852" s="10">
        <f>IF(N(H852)&gt;0,E852/H852,"")</f>
        <v/>
      </c>
      <c r="M852" s="11">
        <f>IF(N(E852)&gt;0,I852/E852,"")</f>
        <v/>
      </c>
      <c r="N852" s="10">
        <f>IF(AND(E852="",I852=""),"",N(I852)*(1-COM-COM_SHOP)-N(E852)*(1+IMP_META))</f>
        <v/>
      </c>
      <c r="O852" s="37" t="n"/>
    </row>
    <row r="853">
      <c r="A853" s="36" t="n"/>
      <c r="B853" s="37" t="n"/>
      <c r="C853" s="37" t="n"/>
      <c r="D853" s="38">
        <f>IF(C853="","",IFERROR(INDEX(Anuncios!$B$6:$B$65,MATCH(C853,Anuncios!$A$6:$A$65,0)),"(no está en Anuncios)"))</f>
        <v/>
      </c>
      <c r="E853" s="39" t="n"/>
      <c r="F853" s="40" t="n"/>
      <c r="G853" s="40" t="n"/>
      <c r="H853" s="40" t="n"/>
      <c r="I853" s="39" t="n"/>
      <c r="J853" s="13">
        <f>IF(N(F853)&gt;0,G853/F853,"")</f>
        <v/>
      </c>
      <c r="K853" s="10">
        <f>IF(N(G853)&gt;0,E853/G853,"")</f>
        <v/>
      </c>
      <c r="L853" s="10">
        <f>IF(N(H853)&gt;0,E853/H853,"")</f>
        <v/>
      </c>
      <c r="M853" s="11">
        <f>IF(N(E853)&gt;0,I853/E853,"")</f>
        <v/>
      </c>
      <c r="N853" s="10">
        <f>IF(AND(E853="",I853=""),"",N(I853)*(1-COM-COM_SHOP)-N(E853)*(1+IMP_META))</f>
        <v/>
      </c>
      <c r="O853" s="37" t="n"/>
    </row>
    <row r="854">
      <c r="A854" s="36" t="n"/>
      <c r="B854" s="37" t="n"/>
      <c r="C854" s="37" t="n"/>
      <c r="D854" s="38">
        <f>IF(C854="","",IFERROR(INDEX(Anuncios!$B$6:$B$65,MATCH(C854,Anuncios!$A$6:$A$65,0)),"(no está en Anuncios)"))</f>
        <v/>
      </c>
      <c r="E854" s="39" t="n"/>
      <c r="F854" s="40" t="n"/>
      <c r="G854" s="40" t="n"/>
      <c r="H854" s="40" t="n"/>
      <c r="I854" s="39" t="n"/>
      <c r="J854" s="13">
        <f>IF(N(F854)&gt;0,G854/F854,"")</f>
        <v/>
      </c>
      <c r="K854" s="10">
        <f>IF(N(G854)&gt;0,E854/G854,"")</f>
        <v/>
      </c>
      <c r="L854" s="10">
        <f>IF(N(H854)&gt;0,E854/H854,"")</f>
        <v/>
      </c>
      <c r="M854" s="11">
        <f>IF(N(E854)&gt;0,I854/E854,"")</f>
        <v/>
      </c>
      <c r="N854" s="10">
        <f>IF(AND(E854="",I854=""),"",N(I854)*(1-COM-COM_SHOP)-N(E854)*(1+IMP_META))</f>
        <v/>
      </c>
      <c r="O854" s="37" t="n"/>
    </row>
    <row r="855">
      <c r="A855" s="36" t="n"/>
      <c r="B855" s="37" t="n"/>
      <c r="C855" s="37" t="n"/>
      <c r="D855" s="38">
        <f>IF(C855="","",IFERROR(INDEX(Anuncios!$B$6:$B$65,MATCH(C855,Anuncios!$A$6:$A$65,0)),"(no está en Anuncios)"))</f>
        <v/>
      </c>
      <c r="E855" s="39" t="n"/>
      <c r="F855" s="40" t="n"/>
      <c r="G855" s="40" t="n"/>
      <c r="H855" s="40" t="n"/>
      <c r="I855" s="39" t="n"/>
      <c r="J855" s="13">
        <f>IF(N(F855)&gt;0,G855/F855,"")</f>
        <v/>
      </c>
      <c r="K855" s="10">
        <f>IF(N(G855)&gt;0,E855/G855,"")</f>
        <v/>
      </c>
      <c r="L855" s="10">
        <f>IF(N(H855)&gt;0,E855/H855,"")</f>
        <v/>
      </c>
      <c r="M855" s="11">
        <f>IF(N(E855)&gt;0,I855/E855,"")</f>
        <v/>
      </c>
      <c r="N855" s="10">
        <f>IF(AND(E855="",I855=""),"",N(I855)*(1-COM-COM_SHOP)-N(E855)*(1+IMP_META))</f>
        <v/>
      </c>
      <c r="O855" s="37" t="n"/>
    </row>
    <row r="856">
      <c r="A856" s="36" t="n"/>
      <c r="B856" s="37" t="n"/>
      <c r="C856" s="37" t="n"/>
      <c r="D856" s="38">
        <f>IF(C856="","",IFERROR(INDEX(Anuncios!$B$6:$B$65,MATCH(C856,Anuncios!$A$6:$A$65,0)),"(no está en Anuncios)"))</f>
        <v/>
      </c>
      <c r="E856" s="39" t="n"/>
      <c r="F856" s="40" t="n"/>
      <c r="G856" s="40" t="n"/>
      <c r="H856" s="40" t="n"/>
      <c r="I856" s="39" t="n"/>
      <c r="J856" s="13">
        <f>IF(N(F856)&gt;0,G856/F856,"")</f>
        <v/>
      </c>
      <c r="K856" s="10">
        <f>IF(N(G856)&gt;0,E856/G856,"")</f>
        <v/>
      </c>
      <c r="L856" s="10">
        <f>IF(N(H856)&gt;0,E856/H856,"")</f>
        <v/>
      </c>
      <c r="M856" s="11">
        <f>IF(N(E856)&gt;0,I856/E856,"")</f>
        <v/>
      </c>
      <c r="N856" s="10">
        <f>IF(AND(E856="",I856=""),"",N(I856)*(1-COM-COM_SHOP)-N(E856)*(1+IMP_META))</f>
        <v/>
      </c>
      <c r="O856" s="37" t="n"/>
    </row>
    <row r="857">
      <c r="A857" s="36" t="n"/>
      <c r="B857" s="37" t="n"/>
      <c r="C857" s="37" t="n"/>
      <c r="D857" s="38">
        <f>IF(C857="","",IFERROR(INDEX(Anuncios!$B$6:$B$65,MATCH(C857,Anuncios!$A$6:$A$65,0)),"(no está en Anuncios)"))</f>
        <v/>
      </c>
      <c r="E857" s="39" t="n"/>
      <c r="F857" s="40" t="n"/>
      <c r="G857" s="40" t="n"/>
      <c r="H857" s="40" t="n"/>
      <c r="I857" s="39" t="n"/>
      <c r="J857" s="13">
        <f>IF(N(F857)&gt;0,G857/F857,"")</f>
        <v/>
      </c>
      <c r="K857" s="10">
        <f>IF(N(G857)&gt;0,E857/G857,"")</f>
        <v/>
      </c>
      <c r="L857" s="10">
        <f>IF(N(H857)&gt;0,E857/H857,"")</f>
        <v/>
      </c>
      <c r="M857" s="11">
        <f>IF(N(E857)&gt;0,I857/E857,"")</f>
        <v/>
      </c>
      <c r="N857" s="10">
        <f>IF(AND(E857="",I857=""),"",N(I857)*(1-COM-COM_SHOP)-N(E857)*(1+IMP_META))</f>
        <v/>
      </c>
      <c r="O857" s="37" t="n"/>
    </row>
    <row r="858">
      <c r="A858" s="36" t="n"/>
      <c r="B858" s="37" t="n"/>
      <c r="C858" s="37" t="n"/>
      <c r="D858" s="38">
        <f>IF(C858="","",IFERROR(INDEX(Anuncios!$B$6:$B$65,MATCH(C858,Anuncios!$A$6:$A$65,0)),"(no está en Anuncios)"))</f>
        <v/>
      </c>
      <c r="E858" s="39" t="n"/>
      <c r="F858" s="40" t="n"/>
      <c r="G858" s="40" t="n"/>
      <c r="H858" s="40" t="n"/>
      <c r="I858" s="39" t="n"/>
      <c r="J858" s="13">
        <f>IF(N(F858)&gt;0,G858/F858,"")</f>
        <v/>
      </c>
      <c r="K858" s="10">
        <f>IF(N(G858)&gt;0,E858/G858,"")</f>
        <v/>
      </c>
      <c r="L858" s="10">
        <f>IF(N(H858)&gt;0,E858/H858,"")</f>
        <v/>
      </c>
      <c r="M858" s="11">
        <f>IF(N(E858)&gt;0,I858/E858,"")</f>
        <v/>
      </c>
      <c r="N858" s="10">
        <f>IF(AND(E858="",I858=""),"",N(I858)*(1-COM-COM_SHOP)-N(E858)*(1+IMP_META))</f>
        <v/>
      </c>
      <c r="O858" s="37" t="n"/>
    </row>
    <row r="859">
      <c r="A859" s="36" t="n"/>
      <c r="B859" s="37" t="n"/>
      <c r="C859" s="37" t="n"/>
      <c r="D859" s="38">
        <f>IF(C859="","",IFERROR(INDEX(Anuncios!$B$6:$B$65,MATCH(C859,Anuncios!$A$6:$A$65,0)),"(no está en Anuncios)"))</f>
        <v/>
      </c>
      <c r="E859" s="39" t="n"/>
      <c r="F859" s="40" t="n"/>
      <c r="G859" s="40" t="n"/>
      <c r="H859" s="40" t="n"/>
      <c r="I859" s="39" t="n"/>
      <c r="J859" s="13">
        <f>IF(N(F859)&gt;0,G859/F859,"")</f>
        <v/>
      </c>
      <c r="K859" s="10">
        <f>IF(N(G859)&gt;0,E859/G859,"")</f>
        <v/>
      </c>
      <c r="L859" s="10">
        <f>IF(N(H859)&gt;0,E859/H859,"")</f>
        <v/>
      </c>
      <c r="M859" s="11">
        <f>IF(N(E859)&gt;0,I859/E859,"")</f>
        <v/>
      </c>
      <c r="N859" s="10">
        <f>IF(AND(E859="",I859=""),"",N(I859)*(1-COM-COM_SHOP)-N(E859)*(1+IMP_META))</f>
        <v/>
      </c>
      <c r="O859" s="37" t="n"/>
    </row>
    <row r="860">
      <c r="A860" s="36" t="n"/>
      <c r="B860" s="37" t="n"/>
      <c r="C860" s="37" t="n"/>
      <c r="D860" s="38">
        <f>IF(C860="","",IFERROR(INDEX(Anuncios!$B$6:$B$65,MATCH(C860,Anuncios!$A$6:$A$65,0)),"(no está en Anuncios)"))</f>
        <v/>
      </c>
      <c r="E860" s="39" t="n"/>
      <c r="F860" s="40" t="n"/>
      <c r="G860" s="40" t="n"/>
      <c r="H860" s="40" t="n"/>
      <c r="I860" s="39" t="n"/>
      <c r="J860" s="13">
        <f>IF(N(F860)&gt;0,G860/F860,"")</f>
        <v/>
      </c>
      <c r="K860" s="10">
        <f>IF(N(G860)&gt;0,E860/G860,"")</f>
        <v/>
      </c>
      <c r="L860" s="10">
        <f>IF(N(H860)&gt;0,E860/H860,"")</f>
        <v/>
      </c>
      <c r="M860" s="11">
        <f>IF(N(E860)&gt;0,I860/E860,"")</f>
        <v/>
      </c>
      <c r="N860" s="10">
        <f>IF(AND(E860="",I860=""),"",N(I860)*(1-COM-COM_SHOP)-N(E860)*(1+IMP_META))</f>
        <v/>
      </c>
      <c r="O860" s="37" t="n"/>
    </row>
    <row r="861">
      <c r="A861" s="36" t="n"/>
      <c r="B861" s="37" t="n"/>
      <c r="C861" s="37" t="n"/>
      <c r="D861" s="38">
        <f>IF(C861="","",IFERROR(INDEX(Anuncios!$B$6:$B$65,MATCH(C861,Anuncios!$A$6:$A$65,0)),"(no está en Anuncios)"))</f>
        <v/>
      </c>
      <c r="E861" s="39" t="n"/>
      <c r="F861" s="40" t="n"/>
      <c r="G861" s="40" t="n"/>
      <c r="H861" s="40" t="n"/>
      <c r="I861" s="39" t="n"/>
      <c r="J861" s="13">
        <f>IF(N(F861)&gt;0,G861/F861,"")</f>
        <v/>
      </c>
      <c r="K861" s="10">
        <f>IF(N(G861)&gt;0,E861/G861,"")</f>
        <v/>
      </c>
      <c r="L861" s="10">
        <f>IF(N(H861)&gt;0,E861/H861,"")</f>
        <v/>
      </c>
      <c r="M861" s="11">
        <f>IF(N(E861)&gt;0,I861/E861,"")</f>
        <v/>
      </c>
      <c r="N861" s="10">
        <f>IF(AND(E861="",I861=""),"",N(I861)*(1-COM-COM_SHOP)-N(E861)*(1+IMP_META))</f>
        <v/>
      </c>
      <c r="O861" s="37" t="n"/>
    </row>
    <row r="862">
      <c r="A862" s="36" t="n"/>
      <c r="B862" s="37" t="n"/>
      <c r="C862" s="37" t="n"/>
      <c r="D862" s="38">
        <f>IF(C862="","",IFERROR(INDEX(Anuncios!$B$6:$B$65,MATCH(C862,Anuncios!$A$6:$A$65,0)),"(no está en Anuncios)"))</f>
        <v/>
      </c>
      <c r="E862" s="39" t="n"/>
      <c r="F862" s="40" t="n"/>
      <c r="G862" s="40" t="n"/>
      <c r="H862" s="40" t="n"/>
      <c r="I862" s="39" t="n"/>
      <c r="J862" s="13">
        <f>IF(N(F862)&gt;0,G862/F862,"")</f>
        <v/>
      </c>
      <c r="K862" s="10">
        <f>IF(N(G862)&gt;0,E862/G862,"")</f>
        <v/>
      </c>
      <c r="L862" s="10">
        <f>IF(N(H862)&gt;0,E862/H862,"")</f>
        <v/>
      </c>
      <c r="M862" s="11">
        <f>IF(N(E862)&gt;0,I862/E862,"")</f>
        <v/>
      </c>
      <c r="N862" s="10">
        <f>IF(AND(E862="",I862=""),"",N(I862)*(1-COM-COM_SHOP)-N(E862)*(1+IMP_META))</f>
        <v/>
      </c>
      <c r="O862" s="37" t="n"/>
    </row>
    <row r="863">
      <c r="A863" s="36" t="n"/>
      <c r="B863" s="37" t="n"/>
      <c r="C863" s="37" t="n"/>
      <c r="D863" s="38">
        <f>IF(C863="","",IFERROR(INDEX(Anuncios!$B$6:$B$65,MATCH(C863,Anuncios!$A$6:$A$65,0)),"(no está en Anuncios)"))</f>
        <v/>
      </c>
      <c r="E863" s="39" t="n"/>
      <c r="F863" s="40" t="n"/>
      <c r="G863" s="40" t="n"/>
      <c r="H863" s="40" t="n"/>
      <c r="I863" s="39" t="n"/>
      <c r="J863" s="13">
        <f>IF(N(F863)&gt;0,G863/F863,"")</f>
        <v/>
      </c>
      <c r="K863" s="10">
        <f>IF(N(G863)&gt;0,E863/G863,"")</f>
        <v/>
      </c>
      <c r="L863" s="10">
        <f>IF(N(H863)&gt;0,E863/H863,"")</f>
        <v/>
      </c>
      <c r="M863" s="11">
        <f>IF(N(E863)&gt;0,I863/E863,"")</f>
        <v/>
      </c>
      <c r="N863" s="10">
        <f>IF(AND(E863="",I863=""),"",N(I863)*(1-COM-COM_SHOP)-N(E863)*(1+IMP_META))</f>
        <v/>
      </c>
      <c r="O863" s="37" t="n"/>
    </row>
    <row r="864">
      <c r="A864" s="36" t="n"/>
      <c r="B864" s="37" t="n"/>
      <c r="C864" s="37" t="n"/>
      <c r="D864" s="38">
        <f>IF(C864="","",IFERROR(INDEX(Anuncios!$B$6:$B$65,MATCH(C864,Anuncios!$A$6:$A$65,0)),"(no está en Anuncios)"))</f>
        <v/>
      </c>
      <c r="E864" s="39" t="n"/>
      <c r="F864" s="40" t="n"/>
      <c r="G864" s="40" t="n"/>
      <c r="H864" s="40" t="n"/>
      <c r="I864" s="39" t="n"/>
      <c r="J864" s="13">
        <f>IF(N(F864)&gt;0,G864/F864,"")</f>
        <v/>
      </c>
      <c r="K864" s="10">
        <f>IF(N(G864)&gt;0,E864/G864,"")</f>
        <v/>
      </c>
      <c r="L864" s="10">
        <f>IF(N(H864)&gt;0,E864/H864,"")</f>
        <v/>
      </c>
      <c r="M864" s="11">
        <f>IF(N(E864)&gt;0,I864/E864,"")</f>
        <v/>
      </c>
      <c r="N864" s="10">
        <f>IF(AND(E864="",I864=""),"",N(I864)*(1-COM-COM_SHOP)-N(E864)*(1+IMP_META))</f>
        <v/>
      </c>
      <c r="O864" s="37" t="n"/>
    </row>
    <row r="865">
      <c r="A865" s="36" t="n"/>
      <c r="B865" s="37" t="n"/>
      <c r="C865" s="37" t="n"/>
      <c r="D865" s="38">
        <f>IF(C865="","",IFERROR(INDEX(Anuncios!$B$6:$B$65,MATCH(C865,Anuncios!$A$6:$A$65,0)),"(no está en Anuncios)"))</f>
        <v/>
      </c>
      <c r="E865" s="39" t="n"/>
      <c r="F865" s="40" t="n"/>
      <c r="G865" s="40" t="n"/>
      <c r="H865" s="40" t="n"/>
      <c r="I865" s="39" t="n"/>
      <c r="J865" s="13">
        <f>IF(N(F865)&gt;0,G865/F865,"")</f>
        <v/>
      </c>
      <c r="K865" s="10">
        <f>IF(N(G865)&gt;0,E865/G865,"")</f>
        <v/>
      </c>
      <c r="L865" s="10">
        <f>IF(N(H865)&gt;0,E865/H865,"")</f>
        <v/>
      </c>
      <c r="M865" s="11">
        <f>IF(N(E865)&gt;0,I865/E865,"")</f>
        <v/>
      </c>
      <c r="N865" s="10">
        <f>IF(AND(E865="",I865=""),"",N(I865)*(1-COM-COM_SHOP)-N(E865)*(1+IMP_META))</f>
        <v/>
      </c>
      <c r="O865" s="37" t="n"/>
    </row>
    <row r="866">
      <c r="A866" s="36" t="n"/>
      <c r="B866" s="37" t="n"/>
      <c r="C866" s="37" t="n"/>
      <c r="D866" s="38">
        <f>IF(C866="","",IFERROR(INDEX(Anuncios!$B$6:$B$65,MATCH(C866,Anuncios!$A$6:$A$65,0)),"(no está en Anuncios)"))</f>
        <v/>
      </c>
      <c r="E866" s="39" t="n"/>
      <c r="F866" s="40" t="n"/>
      <c r="G866" s="40" t="n"/>
      <c r="H866" s="40" t="n"/>
      <c r="I866" s="39" t="n"/>
      <c r="J866" s="13">
        <f>IF(N(F866)&gt;0,G866/F866,"")</f>
        <v/>
      </c>
      <c r="K866" s="10">
        <f>IF(N(G866)&gt;0,E866/G866,"")</f>
        <v/>
      </c>
      <c r="L866" s="10">
        <f>IF(N(H866)&gt;0,E866/H866,"")</f>
        <v/>
      </c>
      <c r="M866" s="11">
        <f>IF(N(E866)&gt;0,I866/E866,"")</f>
        <v/>
      </c>
      <c r="N866" s="10">
        <f>IF(AND(E866="",I866=""),"",N(I866)*(1-COM-COM_SHOP)-N(E866)*(1+IMP_META))</f>
        <v/>
      </c>
      <c r="O866" s="37" t="n"/>
    </row>
    <row r="867">
      <c r="A867" s="36" t="n"/>
      <c r="B867" s="37" t="n"/>
      <c r="C867" s="37" t="n"/>
      <c r="D867" s="38">
        <f>IF(C867="","",IFERROR(INDEX(Anuncios!$B$6:$B$65,MATCH(C867,Anuncios!$A$6:$A$65,0)),"(no está en Anuncios)"))</f>
        <v/>
      </c>
      <c r="E867" s="39" t="n"/>
      <c r="F867" s="40" t="n"/>
      <c r="G867" s="40" t="n"/>
      <c r="H867" s="40" t="n"/>
      <c r="I867" s="39" t="n"/>
      <c r="J867" s="13">
        <f>IF(N(F867)&gt;0,G867/F867,"")</f>
        <v/>
      </c>
      <c r="K867" s="10">
        <f>IF(N(G867)&gt;0,E867/G867,"")</f>
        <v/>
      </c>
      <c r="L867" s="10">
        <f>IF(N(H867)&gt;0,E867/H867,"")</f>
        <v/>
      </c>
      <c r="M867" s="11">
        <f>IF(N(E867)&gt;0,I867/E867,"")</f>
        <v/>
      </c>
      <c r="N867" s="10">
        <f>IF(AND(E867="",I867=""),"",N(I867)*(1-COM-COM_SHOP)-N(E867)*(1+IMP_META))</f>
        <v/>
      </c>
      <c r="O867" s="37" t="n"/>
    </row>
    <row r="868">
      <c r="A868" s="36" t="n"/>
      <c r="B868" s="37" t="n"/>
      <c r="C868" s="37" t="n"/>
      <c r="D868" s="38">
        <f>IF(C868="","",IFERROR(INDEX(Anuncios!$B$6:$B$65,MATCH(C868,Anuncios!$A$6:$A$65,0)),"(no está en Anuncios)"))</f>
        <v/>
      </c>
      <c r="E868" s="39" t="n"/>
      <c r="F868" s="40" t="n"/>
      <c r="G868" s="40" t="n"/>
      <c r="H868" s="40" t="n"/>
      <c r="I868" s="39" t="n"/>
      <c r="J868" s="13">
        <f>IF(N(F868)&gt;0,G868/F868,"")</f>
        <v/>
      </c>
      <c r="K868" s="10">
        <f>IF(N(G868)&gt;0,E868/G868,"")</f>
        <v/>
      </c>
      <c r="L868" s="10">
        <f>IF(N(H868)&gt;0,E868/H868,"")</f>
        <v/>
      </c>
      <c r="M868" s="11">
        <f>IF(N(E868)&gt;0,I868/E868,"")</f>
        <v/>
      </c>
      <c r="N868" s="10">
        <f>IF(AND(E868="",I868=""),"",N(I868)*(1-COM-COM_SHOP)-N(E868)*(1+IMP_META))</f>
        <v/>
      </c>
      <c r="O868" s="37" t="n"/>
    </row>
    <row r="869">
      <c r="A869" s="36" t="n"/>
      <c r="B869" s="37" t="n"/>
      <c r="C869" s="37" t="n"/>
      <c r="D869" s="38">
        <f>IF(C869="","",IFERROR(INDEX(Anuncios!$B$6:$B$65,MATCH(C869,Anuncios!$A$6:$A$65,0)),"(no está en Anuncios)"))</f>
        <v/>
      </c>
      <c r="E869" s="39" t="n"/>
      <c r="F869" s="40" t="n"/>
      <c r="G869" s="40" t="n"/>
      <c r="H869" s="40" t="n"/>
      <c r="I869" s="39" t="n"/>
      <c r="J869" s="13">
        <f>IF(N(F869)&gt;0,G869/F869,"")</f>
        <v/>
      </c>
      <c r="K869" s="10">
        <f>IF(N(G869)&gt;0,E869/G869,"")</f>
        <v/>
      </c>
      <c r="L869" s="10">
        <f>IF(N(H869)&gt;0,E869/H869,"")</f>
        <v/>
      </c>
      <c r="M869" s="11">
        <f>IF(N(E869)&gt;0,I869/E869,"")</f>
        <v/>
      </c>
      <c r="N869" s="10">
        <f>IF(AND(E869="",I869=""),"",N(I869)*(1-COM-COM_SHOP)-N(E869)*(1+IMP_META))</f>
        <v/>
      </c>
      <c r="O869" s="37" t="n"/>
    </row>
    <row r="870">
      <c r="A870" s="36" t="n"/>
      <c r="B870" s="37" t="n"/>
      <c r="C870" s="37" t="n"/>
      <c r="D870" s="38">
        <f>IF(C870="","",IFERROR(INDEX(Anuncios!$B$6:$B$65,MATCH(C870,Anuncios!$A$6:$A$65,0)),"(no está en Anuncios)"))</f>
        <v/>
      </c>
      <c r="E870" s="39" t="n"/>
      <c r="F870" s="40" t="n"/>
      <c r="G870" s="40" t="n"/>
      <c r="H870" s="40" t="n"/>
      <c r="I870" s="39" t="n"/>
      <c r="J870" s="13">
        <f>IF(N(F870)&gt;0,G870/F870,"")</f>
        <v/>
      </c>
      <c r="K870" s="10">
        <f>IF(N(G870)&gt;0,E870/G870,"")</f>
        <v/>
      </c>
      <c r="L870" s="10">
        <f>IF(N(H870)&gt;0,E870/H870,"")</f>
        <v/>
      </c>
      <c r="M870" s="11">
        <f>IF(N(E870)&gt;0,I870/E870,"")</f>
        <v/>
      </c>
      <c r="N870" s="10">
        <f>IF(AND(E870="",I870=""),"",N(I870)*(1-COM-COM_SHOP)-N(E870)*(1+IMP_META))</f>
        <v/>
      </c>
      <c r="O870" s="37" t="n"/>
    </row>
    <row r="871">
      <c r="A871" s="36" t="n"/>
      <c r="B871" s="37" t="n"/>
      <c r="C871" s="37" t="n"/>
      <c r="D871" s="38">
        <f>IF(C871="","",IFERROR(INDEX(Anuncios!$B$6:$B$65,MATCH(C871,Anuncios!$A$6:$A$65,0)),"(no está en Anuncios)"))</f>
        <v/>
      </c>
      <c r="E871" s="39" t="n"/>
      <c r="F871" s="40" t="n"/>
      <c r="G871" s="40" t="n"/>
      <c r="H871" s="40" t="n"/>
      <c r="I871" s="39" t="n"/>
      <c r="J871" s="13">
        <f>IF(N(F871)&gt;0,G871/F871,"")</f>
        <v/>
      </c>
      <c r="K871" s="10">
        <f>IF(N(G871)&gt;0,E871/G871,"")</f>
        <v/>
      </c>
      <c r="L871" s="10">
        <f>IF(N(H871)&gt;0,E871/H871,"")</f>
        <v/>
      </c>
      <c r="M871" s="11">
        <f>IF(N(E871)&gt;0,I871/E871,"")</f>
        <v/>
      </c>
      <c r="N871" s="10">
        <f>IF(AND(E871="",I871=""),"",N(I871)*(1-COM-COM_SHOP)-N(E871)*(1+IMP_META))</f>
        <v/>
      </c>
      <c r="O871" s="37" t="n"/>
    </row>
    <row r="872">
      <c r="A872" s="36" t="n"/>
      <c r="B872" s="37" t="n"/>
      <c r="C872" s="37" t="n"/>
      <c r="D872" s="38">
        <f>IF(C872="","",IFERROR(INDEX(Anuncios!$B$6:$B$65,MATCH(C872,Anuncios!$A$6:$A$65,0)),"(no está en Anuncios)"))</f>
        <v/>
      </c>
      <c r="E872" s="39" t="n"/>
      <c r="F872" s="40" t="n"/>
      <c r="G872" s="40" t="n"/>
      <c r="H872" s="40" t="n"/>
      <c r="I872" s="39" t="n"/>
      <c r="J872" s="13">
        <f>IF(N(F872)&gt;0,G872/F872,"")</f>
        <v/>
      </c>
      <c r="K872" s="10">
        <f>IF(N(G872)&gt;0,E872/G872,"")</f>
        <v/>
      </c>
      <c r="L872" s="10">
        <f>IF(N(H872)&gt;0,E872/H872,"")</f>
        <v/>
      </c>
      <c r="M872" s="11">
        <f>IF(N(E872)&gt;0,I872/E872,"")</f>
        <v/>
      </c>
      <c r="N872" s="10">
        <f>IF(AND(E872="",I872=""),"",N(I872)*(1-COM-COM_SHOP)-N(E872)*(1+IMP_META))</f>
        <v/>
      </c>
      <c r="O872" s="37" t="n"/>
    </row>
    <row r="873">
      <c r="A873" s="36" t="n"/>
      <c r="B873" s="37" t="n"/>
      <c r="C873" s="37" t="n"/>
      <c r="D873" s="38">
        <f>IF(C873="","",IFERROR(INDEX(Anuncios!$B$6:$B$65,MATCH(C873,Anuncios!$A$6:$A$65,0)),"(no está en Anuncios)"))</f>
        <v/>
      </c>
      <c r="E873" s="39" t="n"/>
      <c r="F873" s="40" t="n"/>
      <c r="G873" s="40" t="n"/>
      <c r="H873" s="40" t="n"/>
      <c r="I873" s="39" t="n"/>
      <c r="J873" s="13">
        <f>IF(N(F873)&gt;0,G873/F873,"")</f>
        <v/>
      </c>
      <c r="K873" s="10">
        <f>IF(N(G873)&gt;0,E873/G873,"")</f>
        <v/>
      </c>
      <c r="L873" s="10">
        <f>IF(N(H873)&gt;0,E873/H873,"")</f>
        <v/>
      </c>
      <c r="M873" s="11">
        <f>IF(N(E873)&gt;0,I873/E873,"")</f>
        <v/>
      </c>
      <c r="N873" s="10">
        <f>IF(AND(E873="",I873=""),"",N(I873)*(1-COM-COM_SHOP)-N(E873)*(1+IMP_META))</f>
        <v/>
      </c>
      <c r="O873" s="37" t="n"/>
    </row>
    <row r="874">
      <c r="A874" s="36" t="n"/>
      <c r="B874" s="37" t="n"/>
      <c r="C874" s="37" t="n"/>
      <c r="D874" s="38">
        <f>IF(C874="","",IFERROR(INDEX(Anuncios!$B$6:$B$65,MATCH(C874,Anuncios!$A$6:$A$65,0)),"(no está en Anuncios)"))</f>
        <v/>
      </c>
      <c r="E874" s="39" t="n"/>
      <c r="F874" s="40" t="n"/>
      <c r="G874" s="40" t="n"/>
      <c r="H874" s="40" t="n"/>
      <c r="I874" s="39" t="n"/>
      <c r="J874" s="13">
        <f>IF(N(F874)&gt;0,G874/F874,"")</f>
        <v/>
      </c>
      <c r="K874" s="10">
        <f>IF(N(G874)&gt;0,E874/G874,"")</f>
        <v/>
      </c>
      <c r="L874" s="10">
        <f>IF(N(H874)&gt;0,E874/H874,"")</f>
        <v/>
      </c>
      <c r="M874" s="11">
        <f>IF(N(E874)&gt;0,I874/E874,"")</f>
        <v/>
      </c>
      <c r="N874" s="10">
        <f>IF(AND(E874="",I874=""),"",N(I874)*(1-COM-COM_SHOP)-N(E874)*(1+IMP_META))</f>
        <v/>
      </c>
      <c r="O874" s="37" t="n"/>
    </row>
    <row r="875">
      <c r="A875" s="36" t="n"/>
      <c r="B875" s="37" t="n"/>
      <c r="C875" s="37" t="n"/>
      <c r="D875" s="38">
        <f>IF(C875="","",IFERROR(INDEX(Anuncios!$B$6:$B$65,MATCH(C875,Anuncios!$A$6:$A$65,0)),"(no está en Anuncios)"))</f>
        <v/>
      </c>
      <c r="E875" s="39" t="n"/>
      <c r="F875" s="40" t="n"/>
      <c r="G875" s="40" t="n"/>
      <c r="H875" s="40" t="n"/>
      <c r="I875" s="39" t="n"/>
      <c r="J875" s="13">
        <f>IF(N(F875)&gt;0,G875/F875,"")</f>
        <v/>
      </c>
      <c r="K875" s="10">
        <f>IF(N(G875)&gt;0,E875/G875,"")</f>
        <v/>
      </c>
      <c r="L875" s="10">
        <f>IF(N(H875)&gt;0,E875/H875,"")</f>
        <v/>
      </c>
      <c r="M875" s="11">
        <f>IF(N(E875)&gt;0,I875/E875,"")</f>
        <v/>
      </c>
      <c r="N875" s="10">
        <f>IF(AND(E875="",I875=""),"",N(I875)*(1-COM-COM_SHOP)-N(E875)*(1+IMP_META))</f>
        <v/>
      </c>
      <c r="O875" s="37" t="n"/>
    </row>
    <row r="876">
      <c r="A876" s="36" t="n"/>
      <c r="B876" s="37" t="n"/>
      <c r="C876" s="37" t="n"/>
      <c r="D876" s="38">
        <f>IF(C876="","",IFERROR(INDEX(Anuncios!$B$6:$B$65,MATCH(C876,Anuncios!$A$6:$A$65,0)),"(no está en Anuncios)"))</f>
        <v/>
      </c>
      <c r="E876" s="39" t="n"/>
      <c r="F876" s="40" t="n"/>
      <c r="G876" s="40" t="n"/>
      <c r="H876" s="40" t="n"/>
      <c r="I876" s="39" t="n"/>
      <c r="J876" s="13">
        <f>IF(N(F876)&gt;0,G876/F876,"")</f>
        <v/>
      </c>
      <c r="K876" s="10">
        <f>IF(N(G876)&gt;0,E876/G876,"")</f>
        <v/>
      </c>
      <c r="L876" s="10">
        <f>IF(N(H876)&gt;0,E876/H876,"")</f>
        <v/>
      </c>
      <c r="M876" s="11">
        <f>IF(N(E876)&gt;0,I876/E876,"")</f>
        <v/>
      </c>
      <c r="N876" s="10">
        <f>IF(AND(E876="",I876=""),"",N(I876)*(1-COM-COM_SHOP)-N(E876)*(1+IMP_META))</f>
        <v/>
      </c>
      <c r="O876" s="37" t="n"/>
    </row>
    <row r="877">
      <c r="A877" s="36" t="n"/>
      <c r="B877" s="37" t="n"/>
      <c r="C877" s="37" t="n"/>
      <c r="D877" s="38">
        <f>IF(C877="","",IFERROR(INDEX(Anuncios!$B$6:$B$65,MATCH(C877,Anuncios!$A$6:$A$65,0)),"(no está en Anuncios)"))</f>
        <v/>
      </c>
      <c r="E877" s="39" t="n"/>
      <c r="F877" s="40" t="n"/>
      <c r="G877" s="40" t="n"/>
      <c r="H877" s="40" t="n"/>
      <c r="I877" s="39" t="n"/>
      <c r="J877" s="13">
        <f>IF(N(F877)&gt;0,G877/F877,"")</f>
        <v/>
      </c>
      <c r="K877" s="10">
        <f>IF(N(G877)&gt;0,E877/G877,"")</f>
        <v/>
      </c>
      <c r="L877" s="10">
        <f>IF(N(H877)&gt;0,E877/H877,"")</f>
        <v/>
      </c>
      <c r="M877" s="11">
        <f>IF(N(E877)&gt;0,I877/E877,"")</f>
        <v/>
      </c>
      <c r="N877" s="10">
        <f>IF(AND(E877="",I877=""),"",N(I877)*(1-COM-COM_SHOP)-N(E877)*(1+IMP_META))</f>
        <v/>
      </c>
      <c r="O877" s="37" t="n"/>
    </row>
    <row r="878">
      <c r="A878" s="36" t="n"/>
      <c r="B878" s="37" t="n"/>
      <c r="C878" s="37" t="n"/>
      <c r="D878" s="38">
        <f>IF(C878="","",IFERROR(INDEX(Anuncios!$B$6:$B$65,MATCH(C878,Anuncios!$A$6:$A$65,0)),"(no está en Anuncios)"))</f>
        <v/>
      </c>
      <c r="E878" s="39" t="n"/>
      <c r="F878" s="40" t="n"/>
      <c r="G878" s="40" t="n"/>
      <c r="H878" s="40" t="n"/>
      <c r="I878" s="39" t="n"/>
      <c r="J878" s="13">
        <f>IF(N(F878)&gt;0,G878/F878,"")</f>
        <v/>
      </c>
      <c r="K878" s="10">
        <f>IF(N(G878)&gt;0,E878/G878,"")</f>
        <v/>
      </c>
      <c r="L878" s="10">
        <f>IF(N(H878)&gt;0,E878/H878,"")</f>
        <v/>
      </c>
      <c r="M878" s="11">
        <f>IF(N(E878)&gt;0,I878/E878,"")</f>
        <v/>
      </c>
      <c r="N878" s="10">
        <f>IF(AND(E878="",I878=""),"",N(I878)*(1-COM-COM_SHOP)-N(E878)*(1+IMP_META))</f>
        <v/>
      </c>
      <c r="O878" s="37" t="n"/>
    </row>
    <row r="879">
      <c r="A879" s="36" t="n"/>
      <c r="B879" s="37" t="n"/>
      <c r="C879" s="37" t="n"/>
      <c r="D879" s="38">
        <f>IF(C879="","",IFERROR(INDEX(Anuncios!$B$6:$B$65,MATCH(C879,Anuncios!$A$6:$A$65,0)),"(no está en Anuncios)"))</f>
        <v/>
      </c>
      <c r="E879" s="39" t="n"/>
      <c r="F879" s="40" t="n"/>
      <c r="G879" s="40" t="n"/>
      <c r="H879" s="40" t="n"/>
      <c r="I879" s="39" t="n"/>
      <c r="J879" s="13">
        <f>IF(N(F879)&gt;0,G879/F879,"")</f>
        <v/>
      </c>
      <c r="K879" s="10">
        <f>IF(N(G879)&gt;0,E879/G879,"")</f>
        <v/>
      </c>
      <c r="L879" s="10">
        <f>IF(N(H879)&gt;0,E879/H879,"")</f>
        <v/>
      </c>
      <c r="M879" s="11">
        <f>IF(N(E879)&gt;0,I879/E879,"")</f>
        <v/>
      </c>
      <c r="N879" s="10">
        <f>IF(AND(E879="",I879=""),"",N(I879)*(1-COM-COM_SHOP)-N(E879)*(1+IMP_META))</f>
        <v/>
      </c>
      <c r="O879" s="37" t="n"/>
    </row>
    <row r="880">
      <c r="A880" s="36" t="n"/>
      <c r="B880" s="37" t="n"/>
      <c r="C880" s="37" t="n"/>
      <c r="D880" s="38">
        <f>IF(C880="","",IFERROR(INDEX(Anuncios!$B$6:$B$65,MATCH(C880,Anuncios!$A$6:$A$65,0)),"(no está en Anuncios)"))</f>
        <v/>
      </c>
      <c r="E880" s="39" t="n"/>
      <c r="F880" s="40" t="n"/>
      <c r="G880" s="40" t="n"/>
      <c r="H880" s="40" t="n"/>
      <c r="I880" s="39" t="n"/>
      <c r="J880" s="13">
        <f>IF(N(F880)&gt;0,G880/F880,"")</f>
        <v/>
      </c>
      <c r="K880" s="10">
        <f>IF(N(G880)&gt;0,E880/G880,"")</f>
        <v/>
      </c>
      <c r="L880" s="10">
        <f>IF(N(H880)&gt;0,E880/H880,"")</f>
        <v/>
      </c>
      <c r="M880" s="11">
        <f>IF(N(E880)&gt;0,I880/E880,"")</f>
        <v/>
      </c>
      <c r="N880" s="10">
        <f>IF(AND(E880="",I880=""),"",N(I880)*(1-COM-COM_SHOP)-N(E880)*(1+IMP_META))</f>
        <v/>
      </c>
      <c r="O880" s="37" t="n"/>
    </row>
    <row r="881">
      <c r="A881" s="36" t="n"/>
      <c r="B881" s="37" t="n"/>
      <c r="C881" s="37" t="n"/>
      <c r="D881" s="38">
        <f>IF(C881="","",IFERROR(INDEX(Anuncios!$B$6:$B$65,MATCH(C881,Anuncios!$A$6:$A$65,0)),"(no está en Anuncios)"))</f>
        <v/>
      </c>
      <c r="E881" s="39" t="n"/>
      <c r="F881" s="40" t="n"/>
      <c r="G881" s="40" t="n"/>
      <c r="H881" s="40" t="n"/>
      <c r="I881" s="39" t="n"/>
      <c r="J881" s="13">
        <f>IF(N(F881)&gt;0,G881/F881,"")</f>
        <v/>
      </c>
      <c r="K881" s="10">
        <f>IF(N(G881)&gt;0,E881/G881,"")</f>
        <v/>
      </c>
      <c r="L881" s="10">
        <f>IF(N(H881)&gt;0,E881/H881,"")</f>
        <v/>
      </c>
      <c r="M881" s="11">
        <f>IF(N(E881)&gt;0,I881/E881,"")</f>
        <v/>
      </c>
      <c r="N881" s="10">
        <f>IF(AND(E881="",I881=""),"",N(I881)*(1-COM-COM_SHOP)-N(E881)*(1+IMP_META))</f>
        <v/>
      </c>
      <c r="O881" s="37" t="n"/>
    </row>
    <row r="882">
      <c r="A882" s="36" t="n"/>
      <c r="B882" s="37" t="n"/>
      <c r="C882" s="37" t="n"/>
      <c r="D882" s="38">
        <f>IF(C882="","",IFERROR(INDEX(Anuncios!$B$6:$B$65,MATCH(C882,Anuncios!$A$6:$A$65,0)),"(no está en Anuncios)"))</f>
        <v/>
      </c>
      <c r="E882" s="39" t="n"/>
      <c r="F882" s="40" t="n"/>
      <c r="G882" s="40" t="n"/>
      <c r="H882" s="40" t="n"/>
      <c r="I882" s="39" t="n"/>
      <c r="J882" s="13">
        <f>IF(N(F882)&gt;0,G882/F882,"")</f>
        <v/>
      </c>
      <c r="K882" s="10">
        <f>IF(N(G882)&gt;0,E882/G882,"")</f>
        <v/>
      </c>
      <c r="L882" s="10">
        <f>IF(N(H882)&gt;0,E882/H882,"")</f>
        <v/>
      </c>
      <c r="M882" s="11">
        <f>IF(N(E882)&gt;0,I882/E882,"")</f>
        <v/>
      </c>
      <c r="N882" s="10">
        <f>IF(AND(E882="",I882=""),"",N(I882)*(1-COM-COM_SHOP)-N(E882)*(1+IMP_META))</f>
        <v/>
      </c>
      <c r="O882" s="37" t="n"/>
    </row>
    <row r="883">
      <c r="A883" s="36" t="n"/>
      <c r="B883" s="37" t="n"/>
      <c r="C883" s="37" t="n"/>
      <c r="D883" s="38">
        <f>IF(C883="","",IFERROR(INDEX(Anuncios!$B$6:$B$65,MATCH(C883,Anuncios!$A$6:$A$65,0)),"(no está en Anuncios)"))</f>
        <v/>
      </c>
      <c r="E883" s="39" t="n"/>
      <c r="F883" s="40" t="n"/>
      <c r="G883" s="40" t="n"/>
      <c r="H883" s="40" t="n"/>
      <c r="I883" s="39" t="n"/>
      <c r="J883" s="13">
        <f>IF(N(F883)&gt;0,G883/F883,"")</f>
        <v/>
      </c>
      <c r="K883" s="10">
        <f>IF(N(G883)&gt;0,E883/G883,"")</f>
        <v/>
      </c>
      <c r="L883" s="10">
        <f>IF(N(H883)&gt;0,E883/H883,"")</f>
        <v/>
      </c>
      <c r="M883" s="11">
        <f>IF(N(E883)&gt;0,I883/E883,"")</f>
        <v/>
      </c>
      <c r="N883" s="10">
        <f>IF(AND(E883="",I883=""),"",N(I883)*(1-COM-COM_SHOP)-N(E883)*(1+IMP_META))</f>
        <v/>
      </c>
      <c r="O883" s="37" t="n"/>
    </row>
    <row r="884">
      <c r="A884" s="36" t="n"/>
      <c r="B884" s="37" t="n"/>
      <c r="C884" s="37" t="n"/>
      <c r="D884" s="38">
        <f>IF(C884="","",IFERROR(INDEX(Anuncios!$B$6:$B$65,MATCH(C884,Anuncios!$A$6:$A$65,0)),"(no está en Anuncios)"))</f>
        <v/>
      </c>
      <c r="E884" s="39" t="n"/>
      <c r="F884" s="40" t="n"/>
      <c r="G884" s="40" t="n"/>
      <c r="H884" s="40" t="n"/>
      <c r="I884" s="39" t="n"/>
      <c r="J884" s="13">
        <f>IF(N(F884)&gt;0,G884/F884,"")</f>
        <v/>
      </c>
      <c r="K884" s="10">
        <f>IF(N(G884)&gt;0,E884/G884,"")</f>
        <v/>
      </c>
      <c r="L884" s="10">
        <f>IF(N(H884)&gt;0,E884/H884,"")</f>
        <v/>
      </c>
      <c r="M884" s="11">
        <f>IF(N(E884)&gt;0,I884/E884,"")</f>
        <v/>
      </c>
      <c r="N884" s="10">
        <f>IF(AND(E884="",I884=""),"",N(I884)*(1-COM-COM_SHOP)-N(E884)*(1+IMP_META))</f>
        <v/>
      </c>
      <c r="O884" s="37" t="n"/>
    </row>
    <row r="885">
      <c r="A885" s="36" t="n"/>
      <c r="B885" s="37" t="n"/>
      <c r="C885" s="37" t="n"/>
      <c r="D885" s="38">
        <f>IF(C885="","",IFERROR(INDEX(Anuncios!$B$6:$B$65,MATCH(C885,Anuncios!$A$6:$A$65,0)),"(no está en Anuncios)"))</f>
        <v/>
      </c>
      <c r="E885" s="39" t="n"/>
      <c r="F885" s="40" t="n"/>
      <c r="G885" s="40" t="n"/>
      <c r="H885" s="40" t="n"/>
      <c r="I885" s="39" t="n"/>
      <c r="J885" s="13">
        <f>IF(N(F885)&gt;0,G885/F885,"")</f>
        <v/>
      </c>
      <c r="K885" s="10">
        <f>IF(N(G885)&gt;0,E885/G885,"")</f>
        <v/>
      </c>
      <c r="L885" s="10">
        <f>IF(N(H885)&gt;0,E885/H885,"")</f>
        <v/>
      </c>
      <c r="M885" s="11">
        <f>IF(N(E885)&gt;0,I885/E885,"")</f>
        <v/>
      </c>
      <c r="N885" s="10">
        <f>IF(AND(E885="",I885=""),"",N(I885)*(1-COM-COM_SHOP)-N(E885)*(1+IMP_META))</f>
        <v/>
      </c>
      <c r="O885" s="37" t="n"/>
    </row>
    <row r="886">
      <c r="A886" s="36" t="n"/>
      <c r="B886" s="37" t="n"/>
      <c r="C886" s="37" t="n"/>
      <c r="D886" s="38">
        <f>IF(C886="","",IFERROR(INDEX(Anuncios!$B$6:$B$65,MATCH(C886,Anuncios!$A$6:$A$65,0)),"(no está en Anuncios)"))</f>
        <v/>
      </c>
      <c r="E886" s="39" t="n"/>
      <c r="F886" s="40" t="n"/>
      <c r="G886" s="40" t="n"/>
      <c r="H886" s="40" t="n"/>
      <c r="I886" s="39" t="n"/>
      <c r="J886" s="13">
        <f>IF(N(F886)&gt;0,G886/F886,"")</f>
        <v/>
      </c>
      <c r="K886" s="10">
        <f>IF(N(G886)&gt;0,E886/G886,"")</f>
        <v/>
      </c>
      <c r="L886" s="10">
        <f>IF(N(H886)&gt;0,E886/H886,"")</f>
        <v/>
      </c>
      <c r="M886" s="11">
        <f>IF(N(E886)&gt;0,I886/E886,"")</f>
        <v/>
      </c>
      <c r="N886" s="10">
        <f>IF(AND(E886="",I886=""),"",N(I886)*(1-COM-COM_SHOP)-N(E886)*(1+IMP_META))</f>
        <v/>
      </c>
      <c r="O886" s="37" t="n"/>
    </row>
    <row r="887">
      <c r="A887" s="36" t="n"/>
      <c r="B887" s="37" t="n"/>
      <c r="C887" s="37" t="n"/>
      <c r="D887" s="38">
        <f>IF(C887="","",IFERROR(INDEX(Anuncios!$B$6:$B$65,MATCH(C887,Anuncios!$A$6:$A$65,0)),"(no está en Anuncios)"))</f>
        <v/>
      </c>
      <c r="E887" s="39" t="n"/>
      <c r="F887" s="40" t="n"/>
      <c r="G887" s="40" t="n"/>
      <c r="H887" s="40" t="n"/>
      <c r="I887" s="39" t="n"/>
      <c r="J887" s="13">
        <f>IF(N(F887)&gt;0,G887/F887,"")</f>
        <v/>
      </c>
      <c r="K887" s="10">
        <f>IF(N(G887)&gt;0,E887/G887,"")</f>
        <v/>
      </c>
      <c r="L887" s="10">
        <f>IF(N(H887)&gt;0,E887/H887,"")</f>
        <v/>
      </c>
      <c r="M887" s="11">
        <f>IF(N(E887)&gt;0,I887/E887,"")</f>
        <v/>
      </c>
      <c r="N887" s="10">
        <f>IF(AND(E887="",I887=""),"",N(I887)*(1-COM-COM_SHOP)-N(E887)*(1+IMP_META))</f>
        <v/>
      </c>
      <c r="O887" s="37" t="n"/>
    </row>
    <row r="888">
      <c r="A888" s="36" t="n"/>
      <c r="B888" s="37" t="n"/>
      <c r="C888" s="37" t="n"/>
      <c r="D888" s="38">
        <f>IF(C888="","",IFERROR(INDEX(Anuncios!$B$6:$B$65,MATCH(C888,Anuncios!$A$6:$A$65,0)),"(no está en Anuncios)"))</f>
        <v/>
      </c>
      <c r="E888" s="39" t="n"/>
      <c r="F888" s="40" t="n"/>
      <c r="G888" s="40" t="n"/>
      <c r="H888" s="40" t="n"/>
      <c r="I888" s="39" t="n"/>
      <c r="J888" s="13">
        <f>IF(N(F888)&gt;0,G888/F888,"")</f>
        <v/>
      </c>
      <c r="K888" s="10">
        <f>IF(N(G888)&gt;0,E888/G888,"")</f>
        <v/>
      </c>
      <c r="L888" s="10">
        <f>IF(N(H888)&gt;0,E888/H888,"")</f>
        <v/>
      </c>
      <c r="M888" s="11">
        <f>IF(N(E888)&gt;0,I888/E888,"")</f>
        <v/>
      </c>
      <c r="N888" s="10">
        <f>IF(AND(E888="",I888=""),"",N(I888)*(1-COM-COM_SHOP)-N(E888)*(1+IMP_META))</f>
        <v/>
      </c>
      <c r="O888" s="37" t="n"/>
    </row>
    <row r="889">
      <c r="A889" s="36" t="n"/>
      <c r="B889" s="37" t="n"/>
      <c r="C889" s="37" t="n"/>
      <c r="D889" s="38">
        <f>IF(C889="","",IFERROR(INDEX(Anuncios!$B$6:$B$65,MATCH(C889,Anuncios!$A$6:$A$65,0)),"(no está en Anuncios)"))</f>
        <v/>
      </c>
      <c r="E889" s="39" t="n"/>
      <c r="F889" s="40" t="n"/>
      <c r="G889" s="40" t="n"/>
      <c r="H889" s="40" t="n"/>
      <c r="I889" s="39" t="n"/>
      <c r="J889" s="13">
        <f>IF(N(F889)&gt;0,G889/F889,"")</f>
        <v/>
      </c>
      <c r="K889" s="10">
        <f>IF(N(G889)&gt;0,E889/G889,"")</f>
        <v/>
      </c>
      <c r="L889" s="10">
        <f>IF(N(H889)&gt;0,E889/H889,"")</f>
        <v/>
      </c>
      <c r="M889" s="11">
        <f>IF(N(E889)&gt;0,I889/E889,"")</f>
        <v/>
      </c>
      <c r="N889" s="10">
        <f>IF(AND(E889="",I889=""),"",N(I889)*(1-COM-COM_SHOP)-N(E889)*(1+IMP_META))</f>
        <v/>
      </c>
      <c r="O889" s="37" t="n"/>
    </row>
    <row r="890">
      <c r="A890" s="36" t="n"/>
      <c r="B890" s="37" t="n"/>
      <c r="C890" s="37" t="n"/>
      <c r="D890" s="38">
        <f>IF(C890="","",IFERROR(INDEX(Anuncios!$B$6:$B$65,MATCH(C890,Anuncios!$A$6:$A$65,0)),"(no está en Anuncios)"))</f>
        <v/>
      </c>
      <c r="E890" s="39" t="n"/>
      <c r="F890" s="40" t="n"/>
      <c r="G890" s="40" t="n"/>
      <c r="H890" s="40" t="n"/>
      <c r="I890" s="39" t="n"/>
      <c r="J890" s="13">
        <f>IF(N(F890)&gt;0,G890/F890,"")</f>
        <v/>
      </c>
      <c r="K890" s="10">
        <f>IF(N(G890)&gt;0,E890/G890,"")</f>
        <v/>
      </c>
      <c r="L890" s="10">
        <f>IF(N(H890)&gt;0,E890/H890,"")</f>
        <v/>
      </c>
      <c r="M890" s="11">
        <f>IF(N(E890)&gt;0,I890/E890,"")</f>
        <v/>
      </c>
      <c r="N890" s="10">
        <f>IF(AND(E890="",I890=""),"",N(I890)*(1-COM-COM_SHOP)-N(E890)*(1+IMP_META))</f>
        <v/>
      </c>
      <c r="O890" s="37" t="n"/>
    </row>
    <row r="891">
      <c r="A891" s="36" t="n"/>
      <c r="B891" s="37" t="n"/>
      <c r="C891" s="37" t="n"/>
      <c r="D891" s="38">
        <f>IF(C891="","",IFERROR(INDEX(Anuncios!$B$6:$B$65,MATCH(C891,Anuncios!$A$6:$A$65,0)),"(no está en Anuncios)"))</f>
        <v/>
      </c>
      <c r="E891" s="39" t="n"/>
      <c r="F891" s="40" t="n"/>
      <c r="G891" s="40" t="n"/>
      <c r="H891" s="40" t="n"/>
      <c r="I891" s="39" t="n"/>
      <c r="J891" s="13">
        <f>IF(N(F891)&gt;0,G891/F891,"")</f>
        <v/>
      </c>
      <c r="K891" s="10">
        <f>IF(N(G891)&gt;0,E891/G891,"")</f>
        <v/>
      </c>
      <c r="L891" s="10">
        <f>IF(N(H891)&gt;0,E891/H891,"")</f>
        <v/>
      </c>
      <c r="M891" s="11">
        <f>IF(N(E891)&gt;0,I891/E891,"")</f>
        <v/>
      </c>
      <c r="N891" s="10">
        <f>IF(AND(E891="",I891=""),"",N(I891)*(1-COM-COM_SHOP)-N(E891)*(1+IMP_META))</f>
        <v/>
      </c>
      <c r="O891" s="37" t="n"/>
    </row>
    <row r="892">
      <c r="A892" s="36" t="n"/>
      <c r="B892" s="37" t="n"/>
      <c r="C892" s="37" t="n"/>
      <c r="D892" s="38">
        <f>IF(C892="","",IFERROR(INDEX(Anuncios!$B$6:$B$65,MATCH(C892,Anuncios!$A$6:$A$65,0)),"(no está en Anuncios)"))</f>
        <v/>
      </c>
      <c r="E892" s="39" t="n"/>
      <c r="F892" s="40" t="n"/>
      <c r="G892" s="40" t="n"/>
      <c r="H892" s="40" t="n"/>
      <c r="I892" s="39" t="n"/>
      <c r="J892" s="13">
        <f>IF(N(F892)&gt;0,G892/F892,"")</f>
        <v/>
      </c>
      <c r="K892" s="10">
        <f>IF(N(G892)&gt;0,E892/G892,"")</f>
        <v/>
      </c>
      <c r="L892" s="10">
        <f>IF(N(H892)&gt;0,E892/H892,"")</f>
        <v/>
      </c>
      <c r="M892" s="11">
        <f>IF(N(E892)&gt;0,I892/E892,"")</f>
        <v/>
      </c>
      <c r="N892" s="10">
        <f>IF(AND(E892="",I892=""),"",N(I892)*(1-COM-COM_SHOP)-N(E892)*(1+IMP_META))</f>
        <v/>
      </c>
      <c r="O892" s="37" t="n"/>
    </row>
    <row r="893">
      <c r="A893" s="36" t="n"/>
      <c r="B893" s="37" t="n"/>
      <c r="C893" s="37" t="n"/>
      <c r="D893" s="38">
        <f>IF(C893="","",IFERROR(INDEX(Anuncios!$B$6:$B$65,MATCH(C893,Anuncios!$A$6:$A$65,0)),"(no está en Anuncios)"))</f>
        <v/>
      </c>
      <c r="E893" s="39" t="n"/>
      <c r="F893" s="40" t="n"/>
      <c r="G893" s="40" t="n"/>
      <c r="H893" s="40" t="n"/>
      <c r="I893" s="39" t="n"/>
      <c r="J893" s="13">
        <f>IF(N(F893)&gt;0,G893/F893,"")</f>
        <v/>
      </c>
      <c r="K893" s="10">
        <f>IF(N(G893)&gt;0,E893/G893,"")</f>
        <v/>
      </c>
      <c r="L893" s="10">
        <f>IF(N(H893)&gt;0,E893/H893,"")</f>
        <v/>
      </c>
      <c r="M893" s="11">
        <f>IF(N(E893)&gt;0,I893/E893,"")</f>
        <v/>
      </c>
      <c r="N893" s="10">
        <f>IF(AND(E893="",I893=""),"",N(I893)*(1-COM-COM_SHOP)-N(E893)*(1+IMP_META))</f>
        <v/>
      </c>
      <c r="O893" s="37" t="n"/>
    </row>
    <row r="894">
      <c r="A894" s="36" t="n"/>
      <c r="B894" s="37" t="n"/>
      <c r="C894" s="37" t="n"/>
      <c r="D894" s="38">
        <f>IF(C894="","",IFERROR(INDEX(Anuncios!$B$6:$B$65,MATCH(C894,Anuncios!$A$6:$A$65,0)),"(no está en Anuncios)"))</f>
        <v/>
      </c>
      <c r="E894" s="39" t="n"/>
      <c r="F894" s="40" t="n"/>
      <c r="G894" s="40" t="n"/>
      <c r="H894" s="40" t="n"/>
      <c r="I894" s="39" t="n"/>
      <c r="J894" s="13">
        <f>IF(N(F894)&gt;0,G894/F894,"")</f>
        <v/>
      </c>
      <c r="K894" s="10">
        <f>IF(N(G894)&gt;0,E894/G894,"")</f>
        <v/>
      </c>
      <c r="L894" s="10">
        <f>IF(N(H894)&gt;0,E894/H894,"")</f>
        <v/>
      </c>
      <c r="M894" s="11">
        <f>IF(N(E894)&gt;0,I894/E894,"")</f>
        <v/>
      </c>
      <c r="N894" s="10">
        <f>IF(AND(E894="",I894=""),"",N(I894)*(1-COM-COM_SHOP)-N(E894)*(1+IMP_META))</f>
        <v/>
      </c>
      <c r="O894" s="37" t="n"/>
    </row>
    <row r="895">
      <c r="A895" s="36" t="n"/>
      <c r="B895" s="37" t="n"/>
      <c r="C895" s="37" t="n"/>
      <c r="D895" s="38">
        <f>IF(C895="","",IFERROR(INDEX(Anuncios!$B$6:$B$65,MATCH(C895,Anuncios!$A$6:$A$65,0)),"(no está en Anuncios)"))</f>
        <v/>
      </c>
      <c r="E895" s="39" t="n"/>
      <c r="F895" s="40" t="n"/>
      <c r="G895" s="40" t="n"/>
      <c r="H895" s="40" t="n"/>
      <c r="I895" s="39" t="n"/>
      <c r="J895" s="13">
        <f>IF(N(F895)&gt;0,G895/F895,"")</f>
        <v/>
      </c>
      <c r="K895" s="10">
        <f>IF(N(G895)&gt;0,E895/G895,"")</f>
        <v/>
      </c>
      <c r="L895" s="10">
        <f>IF(N(H895)&gt;0,E895/H895,"")</f>
        <v/>
      </c>
      <c r="M895" s="11">
        <f>IF(N(E895)&gt;0,I895/E895,"")</f>
        <v/>
      </c>
      <c r="N895" s="10">
        <f>IF(AND(E895="",I895=""),"",N(I895)*(1-COM-COM_SHOP)-N(E895)*(1+IMP_META))</f>
        <v/>
      </c>
      <c r="O895" s="37" t="n"/>
    </row>
    <row r="896">
      <c r="A896" s="36" t="n"/>
      <c r="B896" s="37" t="n"/>
      <c r="C896" s="37" t="n"/>
      <c r="D896" s="38">
        <f>IF(C896="","",IFERROR(INDEX(Anuncios!$B$6:$B$65,MATCH(C896,Anuncios!$A$6:$A$65,0)),"(no está en Anuncios)"))</f>
        <v/>
      </c>
      <c r="E896" s="39" t="n"/>
      <c r="F896" s="40" t="n"/>
      <c r="G896" s="40" t="n"/>
      <c r="H896" s="40" t="n"/>
      <c r="I896" s="39" t="n"/>
      <c r="J896" s="13">
        <f>IF(N(F896)&gt;0,G896/F896,"")</f>
        <v/>
      </c>
      <c r="K896" s="10">
        <f>IF(N(G896)&gt;0,E896/G896,"")</f>
        <v/>
      </c>
      <c r="L896" s="10">
        <f>IF(N(H896)&gt;0,E896/H896,"")</f>
        <v/>
      </c>
      <c r="M896" s="11">
        <f>IF(N(E896)&gt;0,I896/E896,"")</f>
        <v/>
      </c>
      <c r="N896" s="10">
        <f>IF(AND(E896="",I896=""),"",N(I896)*(1-COM-COM_SHOP)-N(E896)*(1+IMP_META))</f>
        <v/>
      </c>
      <c r="O896" s="37" t="n"/>
    </row>
    <row r="897">
      <c r="A897" s="36" t="n"/>
      <c r="B897" s="37" t="n"/>
      <c r="C897" s="37" t="n"/>
      <c r="D897" s="38">
        <f>IF(C897="","",IFERROR(INDEX(Anuncios!$B$6:$B$65,MATCH(C897,Anuncios!$A$6:$A$65,0)),"(no está en Anuncios)"))</f>
        <v/>
      </c>
      <c r="E897" s="39" t="n"/>
      <c r="F897" s="40" t="n"/>
      <c r="G897" s="40" t="n"/>
      <c r="H897" s="40" t="n"/>
      <c r="I897" s="39" t="n"/>
      <c r="J897" s="13">
        <f>IF(N(F897)&gt;0,G897/F897,"")</f>
        <v/>
      </c>
      <c r="K897" s="10">
        <f>IF(N(G897)&gt;0,E897/G897,"")</f>
        <v/>
      </c>
      <c r="L897" s="10">
        <f>IF(N(H897)&gt;0,E897/H897,"")</f>
        <v/>
      </c>
      <c r="M897" s="11">
        <f>IF(N(E897)&gt;0,I897/E897,"")</f>
        <v/>
      </c>
      <c r="N897" s="10">
        <f>IF(AND(E897="",I897=""),"",N(I897)*(1-COM-COM_SHOP)-N(E897)*(1+IMP_META))</f>
        <v/>
      </c>
      <c r="O897" s="37" t="n"/>
    </row>
    <row r="898">
      <c r="A898" s="36" t="n"/>
      <c r="B898" s="37" t="n"/>
      <c r="C898" s="37" t="n"/>
      <c r="D898" s="38">
        <f>IF(C898="","",IFERROR(INDEX(Anuncios!$B$6:$B$65,MATCH(C898,Anuncios!$A$6:$A$65,0)),"(no está en Anuncios)"))</f>
        <v/>
      </c>
      <c r="E898" s="39" t="n"/>
      <c r="F898" s="40" t="n"/>
      <c r="G898" s="40" t="n"/>
      <c r="H898" s="40" t="n"/>
      <c r="I898" s="39" t="n"/>
      <c r="J898" s="13">
        <f>IF(N(F898)&gt;0,G898/F898,"")</f>
        <v/>
      </c>
      <c r="K898" s="10">
        <f>IF(N(G898)&gt;0,E898/G898,"")</f>
        <v/>
      </c>
      <c r="L898" s="10">
        <f>IF(N(H898)&gt;0,E898/H898,"")</f>
        <v/>
      </c>
      <c r="M898" s="11">
        <f>IF(N(E898)&gt;0,I898/E898,"")</f>
        <v/>
      </c>
      <c r="N898" s="10">
        <f>IF(AND(E898="",I898=""),"",N(I898)*(1-COM-COM_SHOP)-N(E898)*(1+IMP_META))</f>
        <v/>
      </c>
      <c r="O898" s="37" t="n"/>
    </row>
    <row r="899">
      <c r="A899" s="36" t="n"/>
      <c r="B899" s="37" t="n"/>
      <c r="C899" s="37" t="n"/>
      <c r="D899" s="38">
        <f>IF(C899="","",IFERROR(INDEX(Anuncios!$B$6:$B$65,MATCH(C899,Anuncios!$A$6:$A$65,0)),"(no está en Anuncios)"))</f>
        <v/>
      </c>
      <c r="E899" s="39" t="n"/>
      <c r="F899" s="40" t="n"/>
      <c r="G899" s="40" t="n"/>
      <c r="H899" s="40" t="n"/>
      <c r="I899" s="39" t="n"/>
      <c r="J899" s="13">
        <f>IF(N(F899)&gt;0,G899/F899,"")</f>
        <v/>
      </c>
      <c r="K899" s="10">
        <f>IF(N(G899)&gt;0,E899/G899,"")</f>
        <v/>
      </c>
      <c r="L899" s="10">
        <f>IF(N(H899)&gt;0,E899/H899,"")</f>
        <v/>
      </c>
      <c r="M899" s="11">
        <f>IF(N(E899)&gt;0,I899/E899,"")</f>
        <v/>
      </c>
      <c r="N899" s="10">
        <f>IF(AND(E899="",I899=""),"",N(I899)*(1-COM-COM_SHOP)-N(E899)*(1+IMP_META))</f>
        <v/>
      </c>
      <c r="O899" s="37" t="n"/>
    </row>
    <row r="900">
      <c r="A900" s="36" t="n"/>
      <c r="B900" s="37" t="n"/>
      <c r="C900" s="37" t="n"/>
      <c r="D900" s="38">
        <f>IF(C900="","",IFERROR(INDEX(Anuncios!$B$6:$B$65,MATCH(C900,Anuncios!$A$6:$A$65,0)),"(no está en Anuncios)"))</f>
        <v/>
      </c>
      <c r="E900" s="39" t="n"/>
      <c r="F900" s="40" t="n"/>
      <c r="G900" s="40" t="n"/>
      <c r="H900" s="40" t="n"/>
      <c r="I900" s="39" t="n"/>
      <c r="J900" s="13">
        <f>IF(N(F900)&gt;0,G900/F900,"")</f>
        <v/>
      </c>
      <c r="K900" s="10">
        <f>IF(N(G900)&gt;0,E900/G900,"")</f>
        <v/>
      </c>
      <c r="L900" s="10">
        <f>IF(N(H900)&gt;0,E900/H900,"")</f>
        <v/>
      </c>
      <c r="M900" s="11">
        <f>IF(N(E900)&gt;0,I900/E900,"")</f>
        <v/>
      </c>
      <c r="N900" s="10">
        <f>IF(AND(E900="",I900=""),"",N(I900)*(1-COM-COM_SHOP)-N(E900)*(1+IMP_META))</f>
        <v/>
      </c>
      <c r="O900" s="37" t="n"/>
    </row>
    <row r="901">
      <c r="A901" s="36" t="n"/>
      <c r="B901" s="37" t="n"/>
      <c r="C901" s="37" t="n"/>
      <c r="D901" s="38">
        <f>IF(C901="","",IFERROR(INDEX(Anuncios!$B$6:$B$65,MATCH(C901,Anuncios!$A$6:$A$65,0)),"(no está en Anuncios)"))</f>
        <v/>
      </c>
      <c r="E901" s="39" t="n"/>
      <c r="F901" s="40" t="n"/>
      <c r="G901" s="40" t="n"/>
      <c r="H901" s="40" t="n"/>
      <c r="I901" s="39" t="n"/>
      <c r="J901" s="13">
        <f>IF(N(F901)&gt;0,G901/F901,"")</f>
        <v/>
      </c>
      <c r="K901" s="10">
        <f>IF(N(G901)&gt;0,E901/G901,"")</f>
        <v/>
      </c>
      <c r="L901" s="10">
        <f>IF(N(H901)&gt;0,E901/H901,"")</f>
        <v/>
      </c>
      <c r="M901" s="11">
        <f>IF(N(E901)&gt;0,I901/E901,"")</f>
        <v/>
      </c>
      <c r="N901" s="10">
        <f>IF(AND(E901="",I901=""),"",N(I901)*(1-COM-COM_SHOP)-N(E901)*(1+IMP_META))</f>
        <v/>
      </c>
      <c r="O901" s="37" t="n"/>
    </row>
    <row r="902">
      <c r="A902" s="36" t="n"/>
      <c r="B902" s="37" t="n"/>
      <c r="C902" s="37" t="n"/>
      <c r="D902" s="38">
        <f>IF(C902="","",IFERROR(INDEX(Anuncios!$B$6:$B$65,MATCH(C902,Anuncios!$A$6:$A$65,0)),"(no está en Anuncios)"))</f>
        <v/>
      </c>
      <c r="E902" s="39" t="n"/>
      <c r="F902" s="40" t="n"/>
      <c r="G902" s="40" t="n"/>
      <c r="H902" s="40" t="n"/>
      <c r="I902" s="39" t="n"/>
      <c r="J902" s="13">
        <f>IF(N(F902)&gt;0,G902/F902,"")</f>
        <v/>
      </c>
      <c r="K902" s="10">
        <f>IF(N(G902)&gt;0,E902/G902,"")</f>
        <v/>
      </c>
      <c r="L902" s="10">
        <f>IF(N(H902)&gt;0,E902/H902,"")</f>
        <v/>
      </c>
      <c r="M902" s="11">
        <f>IF(N(E902)&gt;0,I902/E902,"")</f>
        <v/>
      </c>
      <c r="N902" s="10">
        <f>IF(AND(E902="",I902=""),"",N(I902)*(1-COM-COM_SHOP)-N(E902)*(1+IMP_META))</f>
        <v/>
      </c>
      <c r="O902" s="37" t="n"/>
    </row>
    <row r="903">
      <c r="A903" s="36" t="n"/>
      <c r="B903" s="37" t="n"/>
      <c r="C903" s="37" t="n"/>
      <c r="D903" s="38">
        <f>IF(C903="","",IFERROR(INDEX(Anuncios!$B$6:$B$65,MATCH(C903,Anuncios!$A$6:$A$65,0)),"(no está en Anuncios)"))</f>
        <v/>
      </c>
      <c r="E903" s="39" t="n"/>
      <c r="F903" s="40" t="n"/>
      <c r="G903" s="40" t="n"/>
      <c r="H903" s="40" t="n"/>
      <c r="I903" s="39" t="n"/>
      <c r="J903" s="13">
        <f>IF(N(F903)&gt;0,G903/F903,"")</f>
        <v/>
      </c>
      <c r="K903" s="10">
        <f>IF(N(G903)&gt;0,E903/G903,"")</f>
        <v/>
      </c>
      <c r="L903" s="10">
        <f>IF(N(H903)&gt;0,E903/H903,"")</f>
        <v/>
      </c>
      <c r="M903" s="11">
        <f>IF(N(E903)&gt;0,I903/E903,"")</f>
        <v/>
      </c>
      <c r="N903" s="10">
        <f>IF(AND(E903="",I903=""),"",N(I903)*(1-COM-COM_SHOP)-N(E903)*(1+IMP_META))</f>
        <v/>
      </c>
      <c r="O903" s="37" t="n"/>
    </row>
    <row r="904">
      <c r="A904" s="36" t="n"/>
      <c r="B904" s="37" t="n"/>
      <c r="C904" s="37" t="n"/>
      <c r="D904" s="38">
        <f>IF(C904="","",IFERROR(INDEX(Anuncios!$B$6:$B$65,MATCH(C904,Anuncios!$A$6:$A$65,0)),"(no está en Anuncios)"))</f>
        <v/>
      </c>
      <c r="E904" s="39" t="n"/>
      <c r="F904" s="40" t="n"/>
      <c r="G904" s="40" t="n"/>
      <c r="H904" s="40" t="n"/>
      <c r="I904" s="39" t="n"/>
      <c r="J904" s="13">
        <f>IF(N(F904)&gt;0,G904/F904,"")</f>
        <v/>
      </c>
      <c r="K904" s="10">
        <f>IF(N(G904)&gt;0,E904/G904,"")</f>
        <v/>
      </c>
      <c r="L904" s="10">
        <f>IF(N(H904)&gt;0,E904/H904,"")</f>
        <v/>
      </c>
      <c r="M904" s="11">
        <f>IF(N(E904)&gt;0,I904/E904,"")</f>
        <v/>
      </c>
      <c r="N904" s="10">
        <f>IF(AND(E904="",I904=""),"",N(I904)*(1-COM-COM_SHOP)-N(E904)*(1+IMP_META))</f>
        <v/>
      </c>
      <c r="O904" s="37" t="n"/>
    </row>
    <row r="905">
      <c r="A905" s="36" t="n"/>
      <c r="B905" s="37" t="n"/>
      <c r="C905" s="37" t="n"/>
      <c r="D905" s="38">
        <f>IF(C905="","",IFERROR(INDEX(Anuncios!$B$6:$B$65,MATCH(C905,Anuncios!$A$6:$A$65,0)),"(no está en Anuncios)"))</f>
        <v/>
      </c>
      <c r="E905" s="39" t="n"/>
      <c r="F905" s="40" t="n"/>
      <c r="G905" s="40" t="n"/>
      <c r="H905" s="40" t="n"/>
      <c r="I905" s="39" t="n"/>
      <c r="J905" s="13">
        <f>IF(N(F905)&gt;0,G905/F905,"")</f>
        <v/>
      </c>
      <c r="K905" s="10">
        <f>IF(N(G905)&gt;0,E905/G905,"")</f>
        <v/>
      </c>
      <c r="L905" s="10">
        <f>IF(N(H905)&gt;0,E905/H905,"")</f>
        <v/>
      </c>
      <c r="M905" s="11">
        <f>IF(N(E905)&gt;0,I905/E905,"")</f>
        <v/>
      </c>
      <c r="N905" s="10">
        <f>IF(AND(E905="",I905=""),"",N(I905)*(1-COM-COM_SHOP)-N(E905)*(1+IMP_META))</f>
        <v/>
      </c>
      <c r="O905" s="37" t="n"/>
    </row>
    <row r="906">
      <c r="A906" s="36" t="n"/>
      <c r="B906" s="37" t="n"/>
      <c r="C906" s="37" t="n"/>
      <c r="D906" s="38">
        <f>IF(C906="","",IFERROR(INDEX(Anuncios!$B$6:$B$65,MATCH(C906,Anuncios!$A$6:$A$65,0)),"(no está en Anuncios)"))</f>
        <v/>
      </c>
      <c r="E906" s="39" t="n"/>
      <c r="F906" s="40" t="n"/>
      <c r="G906" s="40" t="n"/>
      <c r="H906" s="40" t="n"/>
      <c r="I906" s="39" t="n"/>
      <c r="J906" s="13">
        <f>IF(N(F906)&gt;0,G906/F906,"")</f>
        <v/>
      </c>
      <c r="K906" s="10">
        <f>IF(N(G906)&gt;0,E906/G906,"")</f>
        <v/>
      </c>
      <c r="L906" s="10">
        <f>IF(N(H906)&gt;0,E906/H906,"")</f>
        <v/>
      </c>
      <c r="M906" s="11">
        <f>IF(N(E906)&gt;0,I906/E906,"")</f>
        <v/>
      </c>
      <c r="N906" s="10">
        <f>IF(AND(E906="",I906=""),"",N(I906)*(1-COM-COM_SHOP)-N(E906)*(1+IMP_META))</f>
        <v/>
      </c>
      <c r="O906" s="37" t="n"/>
    </row>
    <row r="907">
      <c r="A907" s="36" t="n"/>
      <c r="B907" s="37" t="n"/>
      <c r="C907" s="37" t="n"/>
      <c r="D907" s="38">
        <f>IF(C907="","",IFERROR(INDEX(Anuncios!$B$6:$B$65,MATCH(C907,Anuncios!$A$6:$A$65,0)),"(no está en Anuncios)"))</f>
        <v/>
      </c>
      <c r="E907" s="39" t="n"/>
      <c r="F907" s="40" t="n"/>
      <c r="G907" s="40" t="n"/>
      <c r="H907" s="40" t="n"/>
      <c r="I907" s="39" t="n"/>
      <c r="J907" s="13">
        <f>IF(N(F907)&gt;0,G907/F907,"")</f>
        <v/>
      </c>
      <c r="K907" s="10">
        <f>IF(N(G907)&gt;0,E907/G907,"")</f>
        <v/>
      </c>
      <c r="L907" s="10">
        <f>IF(N(H907)&gt;0,E907/H907,"")</f>
        <v/>
      </c>
      <c r="M907" s="11">
        <f>IF(N(E907)&gt;0,I907/E907,"")</f>
        <v/>
      </c>
      <c r="N907" s="10">
        <f>IF(AND(E907="",I907=""),"",N(I907)*(1-COM-COM_SHOP)-N(E907)*(1+IMP_META))</f>
        <v/>
      </c>
      <c r="O907" s="37" t="n"/>
    </row>
    <row r="908">
      <c r="A908" s="36" t="n"/>
      <c r="B908" s="37" t="n"/>
      <c r="C908" s="37" t="n"/>
      <c r="D908" s="38">
        <f>IF(C908="","",IFERROR(INDEX(Anuncios!$B$6:$B$65,MATCH(C908,Anuncios!$A$6:$A$65,0)),"(no está en Anuncios)"))</f>
        <v/>
      </c>
      <c r="E908" s="39" t="n"/>
      <c r="F908" s="40" t="n"/>
      <c r="G908" s="40" t="n"/>
      <c r="H908" s="40" t="n"/>
      <c r="I908" s="39" t="n"/>
      <c r="J908" s="13">
        <f>IF(N(F908)&gt;0,G908/F908,"")</f>
        <v/>
      </c>
      <c r="K908" s="10">
        <f>IF(N(G908)&gt;0,E908/G908,"")</f>
        <v/>
      </c>
      <c r="L908" s="10">
        <f>IF(N(H908)&gt;0,E908/H908,"")</f>
        <v/>
      </c>
      <c r="M908" s="11">
        <f>IF(N(E908)&gt;0,I908/E908,"")</f>
        <v/>
      </c>
      <c r="N908" s="10">
        <f>IF(AND(E908="",I908=""),"",N(I908)*(1-COM-COM_SHOP)-N(E908)*(1+IMP_META))</f>
        <v/>
      </c>
      <c r="O908" s="37" t="n"/>
    </row>
    <row r="909">
      <c r="A909" s="36" t="n"/>
      <c r="B909" s="37" t="n"/>
      <c r="C909" s="37" t="n"/>
      <c r="D909" s="38">
        <f>IF(C909="","",IFERROR(INDEX(Anuncios!$B$6:$B$65,MATCH(C909,Anuncios!$A$6:$A$65,0)),"(no está en Anuncios)"))</f>
        <v/>
      </c>
      <c r="E909" s="39" t="n"/>
      <c r="F909" s="40" t="n"/>
      <c r="G909" s="40" t="n"/>
      <c r="H909" s="40" t="n"/>
      <c r="I909" s="39" t="n"/>
      <c r="J909" s="13">
        <f>IF(N(F909)&gt;0,G909/F909,"")</f>
        <v/>
      </c>
      <c r="K909" s="10">
        <f>IF(N(G909)&gt;0,E909/G909,"")</f>
        <v/>
      </c>
      <c r="L909" s="10">
        <f>IF(N(H909)&gt;0,E909/H909,"")</f>
        <v/>
      </c>
      <c r="M909" s="11">
        <f>IF(N(E909)&gt;0,I909/E909,"")</f>
        <v/>
      </c>
      <c r="N909" s="10">
        <f>IF(AND(E909="",I909=""),"",N(I909)*(1-COM-COM_SHOP)-N(E909)*(1+IMP_META))</f>
        <v/>
      </c>
      <c r="O909" s="37" t="n"/>
    </row>
    <row r="910">
      <c r="A910" s="36" t="n"/>
      <c r="B910" s="37" t="n"/>
      <c r="C910" s="37" t="n"/>
      <c r="D910" s="38">
        <f>IF(C910="","",IFERROR(INDEX(Anuncios!$B$6:$B$65,MATCH(C910,Anuncios!$A$6:$A$65,0)),"(no está en Anuncios)"))</f>
        <v/>
      </c>
      <c r="E910" s="39" t="n"/>
      <c r="F910" s="40" t="n"/>
      <c r="G910" s="40" t="n"/>
      <c r="H910" s="40" t="n"/>
      <c r="I910" s="39" t="n"/>
      <c r="J910" s="13">
        <f>IF(N(F910)&gt;0,G910/F910,"")</f>
        <v/>
      </c>
      <c r="K910" s="10">
        <f>IF(N(G910)&gt;0,E910/G910,"")</f>
        <v/>
      </c>
      <c r="L910" s="10">
        <f>IF(N(H910)&gt;0,E910/H910,"")</f>
        <v/>
      </c>
      <c r="M910" s="11">
        <f>IF(N(E910)&gt;0,I910/E910,"")</f>
        <v/>
      </c>
      <c r="N910" s="10">
        <f>IF(AND(E910="",I910=""),"",N(I910)*(1-COM-COM_SHOP)-N(E910)*(1+IMP_META))</f>
        <v/>
      </c>
      <c r="O910" s="37" t="n"/>
    </row>
    <row r="911">
      <c r="A911" s="36" t="n"/>
      <c r="B911" s="37" t="n"/>
      <c r="C911" s="37" t="n"/>
      <c r="D911" s="38">
        <f>IF(C911="","",IFERROR(INDEX(Anuncios!$B$6:$B$65,MATCH(C911,Anuncios!$A$6:$A$65,0)),"(no está en Anuncios)"))</f>
        <v/>
      </c>
      <c r="E911" s="39" t="n"/>
      <c r="F911" s="40" t="n"/>
      <c r="G911" s="40" t="n"/>
      <c r="H911" s="40" t="n"/>
      <c r="I911" s="39" t="n"/>
      <c r="J911" s="13">
        <f>IF(N(F911)&gt;0,G911/F911,"")</f>
        <v/>
      </c>
      <c r="K911" s="10">
        <f>IF(N(G911)&gt;0,E911/G911,"")</f>
        <v/>
      </c>
      <c r="L911" s="10">
        <f>IF(N(H911)&gt;0,E911/H911,"")</f>
        <v/>
      </c>
      <c r="M911" s="11">
        <f>IF(N(E911)&gt;0,I911/E911,"")</f>
        <v/>
      </c>
      <c r="N911" s="10">
        <f>IF(AND(E911="",I911=""),"",N(I911)*(1-COM-COM_SHOP)-N(E911)*(1+IMP_META))</f>
        <v/>
      </c>
      <c r="O911" s="37" t="n"/>
    </row>
    <row r="912">
      <c r="A912" s="36" t="n"/>
      <c r="B912" s="37" t="n"/>
      <c r="C912" s="37" t="n"/>
      <c r="D912" s="38">
        <f>IF(C912="","",IFERROR(INDEX(Anuncios!$B$6:$B$65,MATCH(C912,Anuncios!$A$6:$A$65,0)),"(no está en Anuncios)"))</f>
        <v/>
      </c>
      <c r="E912" s="39" t="n"/>
      <c r="F912" s="40" t="n"/>
      <c r="G912" s="40" t="n"/>
      <c r="H912" s="40" t="n"/>
      <c r="I912" s="39" t="n"/>
      <c r="J912" s="13">
        <f>IF(N(F912)&gt;0,G912/F912,"")</f>
        <v/>
      </c>
      <c r="K912" s="10">
        <f>IF(N(G912)&gt;0,E912/G912,"")</f>
        <v/>
      </c>
      <c r="L912" s="10">
        <f>IF(N(H912)&gt;0,E912/H912,"")</f>
        <v/>
      </c>
      <c r="M912" s="11">
        <f>IF(N(E912)&gt;0,I912/E912,"")</f>
        <v/>
      </c>
      <c r="N912" s="10">
        <f>IF(AND(E912="",I912=""),"",N(I912)*(1-COM-COM_SHOP)-N(E912)*(1+IMP_META))</f>
        <v/>
      </c>
      <c r="O912" s="37" t="n"/>
    </row>
    <row r="913">
      <c r="A913" s="36" t="n"/>
      <c r="B913" s="37" t="n"/>
      <c r="C913" s="37" t="n"/>
      <c r="D913" s="38">
        <f>IF(C913="","",IFERROR(INDEX(Anuncios!$B$6:$B$65,MATCH(C913,Anuncios!$A$6:$A$65,0)),"(no está en Anuncios)"))</f>
        <v/>
      </c>
      <c r="E913" s="39" t="n"/>
      <c r="F913" s="40" t="n"/>
      <c r="G913" s="40" t="n"/>
      <c r="H913" s="40" t="n"/>
      <c r="I913" s="39" t="n"/>
      <c r="J913" s="13">
        <f>IF(N(F913)&gt;0,G913/F913,"")</f>
        <v/>
      </c>
      <c r="K913" s="10">
        <f>IF(N(G913)&gt;0,E913/G913,"")</f>
        <v/>
      </c>
      <c r="L913" s="10">
        <f>IF(N(H913)&gt;0,E913/H913,"")</f>
        <v/>
      </c>
      <c r="M913" s="11">
        <f>IF(N(E913)&gt;0,I913/E913,"")</f>
        <v/>
      </c>
      <c r="N913" s="10">
        <f>IF(AND(E913="",I913=""),"",N(I913)*(1-COM-COM_SHOP)-N(E913)*(1+IMP_META))</f>
        <v/>
      </c>
      <c r="O913" s="37" t="n"/>
    </row>
    <row r="914">
      <c r="A914" s="36" t="n"/>
      <c r="B914" s="37" t="n"/>
      <c r="C914" s="37" t="n"/>
      <c r="D914" s="38">
        <f>IF(C914="","",IFERROR(INDEX(Anuncios!$B$6:$B$65,MATCH(C914,Anuncios!$A$6:$A$65,0)),"(no está en Anuncios)"))</f>
        <v/>
      </c>
      <c r="E914" s="39" t="n"/>
      <c r="F914" s="40" t="n"/>
      <c r="G914" s="40" t="n"/>
      <c r="H914" s="40" t="n"/>
      <c r="I914" s="39" t="n"/>
      <c r="J914" s="13">
        <f>IF(N(F914)&gt;0,G914/F914,"")</f>
        <v/>
      </c>
      <c r="K914" s="10">
        <f>IF(N(G914)&gt;0,E914/G914,"")</f>
        <v/>
      </c>
      <c r="L914" s="10">
        <f>IF(N(H914)&gt;0,E914/H914,"")</f>
        <v/>
      </c>
      <c r="M914" s="11">
        <f>IF(N(E914)&gt;0,I914/E914,"")</f>
        <v/>
      </c>
      <c r="N914" s="10">
        <f>IF(AND(E914="",I914=""),"",N(I914)*(1-COM-COM_SHOP)-N(E914)*(1+IMP_META))</f>
        <v/>
      </c>
      <c r="O914" s="37" t="n"/>
    </row>
    <row r="915">
      <c r="A915" s="36" t="n"/>
      <c r="B915" s="37" t="n"/>
      <c r="C915" s="37" t="n"/>
      <c r="D915" s="38">
        <f>IF(C915="","",IFERROR(INDEX(Anuncios!$B$6:$B$65,MATCH(C915,Anuncios!$A$6:$A$65,0)),"(no está en Anuncios)"))</f>
        <v/>
      </c>
      <c r="E915" s="39" t="n"/>
      <c r="F915" s="40" t="n"/>
      <c r="G915" s="40" t="n"/>
      <c r="H915" s="40" t="n"/>
      <c r="I915" s="39" t="n"/>
      <c r="J915" s="13">
        <f>IF(N(F915)&gt;0,G915/F915,"")</f>
        <v/>
      </c>
      <c r="K915" s="10">
        <f>IF(N(G915)&gt;0,E915/G915,"")</f>
        <v/>
      </c>
      <c r="L915" s="10">
        <f>IF(N(H915)&gt;0,E915/H915,"")</f>
        <v/>
      </c>
      <c r="M915" s="11">
        <f>IF(N(E915)&gt;0,I915/E915,"")</f>
        <v/>
      </c>
      <c r="N915" s="10">
        <f>IF(AND(E915="",I915=""),"",N(I915)*(1-COM-COM_SHOP)-N(E915)*(1+IMP_META))</f>
        <v/>
      </c>
      <c r="O915" s="37" t="n"/>
    </row>
    <row r="916">
      <c r="A916" s="36" t="n"/>
      <c r="B916" s="37" t="n"/>
      <c r="C916" s="37" t="n"/>
      <c r="D916" s="38">
        <f>IF(C916="","",IFERROR(INDEX(Anuncios!$B$6:$B$65,MATCH(C916,Anuncios!$A$6:$A$65,0)),"(no está en Anuncios)"))</f>
        <v/>
      </c>
      <c r="E916" s="39" t="n"/>
      <c r="F916" s="40" t="n"/>
      <c r="G916" s="40" t="n"/>
      <c r="H916" s="40" t="n"/>
      <c r="I916" s="39" t="n"/>
      <c r="J916" s="13">
        <f>IF(N(F916)&gt;0,G916/F916,"")</f>
        <v/>
      </c>
      <c r="K916" s="10">
        <f>IF(N(G916)&gt;0,E916/G916,"")</f>
        <v/>
      </c>
      <c r="L916" s="10">
        <f>IF(N(H916)&gt;0,E916/H916,"")</f>
        <v/>
      </c>
      <c r="M916" s="11">
        <f>IF(N(E916)&gt;0,I916/E916,"")</f>
        <v/>
      </c>
      <c r="N916" s="10">
        <f>IF(AND(E916="",I916=""),"",N(I916)*(1-COM-COM_SHOP)-N(E916)*(1+IMP_META))</f>
        <v/>
      </c>
      <c r="O916" s="37" t="n"/>
    </row>
    <row r="917">
      <c r="A917" s="36" t="n"/>
      <c r="B917" s="37" t="n"/>
      <c r="C917" s="37" t="n"/>
      <c r="D917" s="38">
        <f>IF(C917="","",IFERROR(INDEX(Anuncios!$B$6:$B$65,MATCH(C917,Anuncios!$A$6:$A$65,0)),"(no está en Anuncios)"))</f>
        <v/>
      </c>
      <c r="E917" s="39" t="n"/>
      <c r="F917" s="40" t="n"/>
      <c r="G917" s="40" t="n"/>
      <c r="H917" s="40" t="n"/>
      <c r="I917" s="39" t="n"/>
      <c r="J917" s="13">
        <f>IF(N(F917)&gt;0,G917/F917,"")</f>
        <v/>
      </c>
      <c r="K917" s="10">
        <f>IF(N(G917)&gt;0,E917/G917,"")</f>
        <v/>
      </c>
      <c r="L917" s="10">
        <f>IF(N(H917)&gt;0,E917/H917,"")</f>
        <v/>
      </c>
      <c r="M917" s="11">
        <f>IF(N(E917)&gt;0,I917/E917,"")</f>
        <v/>
      </c>
      <c r="N917" s="10">
        <f>IF(AND(E917="",I917=""),"",N(I917)*(1-COM-COM_SHOP)-N(E917)*(1+IMP_META))</f>
        <v/>
      </c>
      <c r="O917" s="37" t="n"/>
    </row>
    <row r="918">
      <c r="A918" s="36" t="n"/>
      <c r="B918" s="37" t="n"/>
      <c r="C918" s="37" t="n"/>
      <c r="D918" s="38">
        <f>IF(C918="","",IFERROR(INDEX(Anuncios!$B$6:$B$65,MATCH(C918,Anuncios!$A$6:$A$65,0)),"(no está en Anuncios)"))</f>
        <v/>
      </c>
      <c r="E918" s="39" t="n"/>
      <c r="F918" s="40" t="n"/>
      <c r="G918" s="40" t="n"/>
      <c r="H918" s="40" t="n"/>
      <c r="I918" s="39" t="n"/>
      <c r="J918" s="13">
        <f>IF(N(F918)&gt;0,G918/F918,"")</f>
        <v/>
      </c>
      <c r="K918" s="10">
        <f>IF(N(G918)&gt;0,E918/G918,"")</f>
        <v/>
      </c>
      <c r="L918" s="10">
        <f>IF(N(H918)&gt;0,E918/H918,"")</f>
        <v/>
      </c>
      <c r="M918" s="11">
        <f>IF(N(E918)&gt;0,I918/E918,"")</f>
        <v/>
      </c>
      <c r="N918" s="10">
        <f>IF(AND(E918="",I918=""),"",N(I918)*(1-COM-COM_SHOP)-N(E918)*(1+IMP_META))</f>
        <v/>
      </c>
      <c r="O918" s="37" t="n"/>
    </row>
    <row r="919">
      <c r="A919" s="36" t="n"/>
      <c r="B919" s="37" t="n"/>
      <c r="C919" s="37" t="n"/>
      <c r="D919" s="38">
        <f>IF(C919="","",IFERROR(INDEX(Anuncios!$B$6:$B$65,MATCH(C919,Anuncios!$A$6:$A$65,0)),"(no está en Anuncios)"))</f>
        <v/>
      </c>
      <c r="E919" s="39" t="n"/>
      <c r="F919" s="40" t="n"/>
      <c r="G919" s="40" t="n"/>
      <c r="H919" s="40" t="n"/>
      <c r="I919" s="39" t="n"/>
      <c r="J919" s="13">
        <f>IF(N(F919)&gt;0,G919/F919,"")</f>
        <v/>
      </c>
      <c r="K919" s="10">
        <f>IF(N(G919)&gt;0,E919/G919,"")</f>
        <v/>
      </c>
      <c r="L919" s="10">
        <f>IF(N(H919)&gt;0,E919/H919,"")</f>
        <v/>
      </c>
      <c r="M919" s="11">
        <f>IF(N(E919)&gt;0,I919/E919,"")</f>
        <v/>
      </c>
      <c r="N919" s="10">
        <f>IF(AND(E919="",I919=""),"",N(I919)*(1-COM-COM_SHOP)-N(E919)*(1+IMP_META))</f>
        <v/>
      </c>
      <c r="O919" s="37" t="n"/>
    </row>
    <row r="920">
      <c r="A920" s="36" t="n"/>
      <c r="B920" s="37" t="n"/>
      <c r="C920" s="37" t="n"/>
      <c r="D920" s="38">
        <f>IF(C920="","",IFERROR(INDEX(Anuncios!$B$6:$B$65,MATCH(C920,Anuncios!$A$6:$A$65,0)),"(no está en Anuncios)"))</f>
        <v/>
      </c>
      <c r="E920" s="39" t="n"/>
      <c r="F920" s="40" t="n"/>
      <c r="G920" s="40" t="n"/>
      <c r="H920" s="40" t="n"/>
      <c r="I920" s="39" t="n"/>
      <c r="J920" s="13">
        <f>IF(N(F920)&gt;0,G920/F920,"")</f>
        <v/>
      </c>
      <c r="K920" s="10">
        <f>IF(N(G920)&gt;0,E920/G920,"")</f>
        <v/>
      </c>
      <c r="L920" s="10">
        <f>IF(N(H920)&gt;0,E920/H920,"")</f>
        <v/>
      </c>
      <c r="M920" s="11">
        <f>IF(N(E920)&gt;0,I920/E920,"")</f>
        <v/>
      </c>
      <c r="N920" s="10">
        <f>IF(AND(E920="",I920=""),"",N(I920)*(1-COM-COM_SHOP)-N(E920)*(1+IMP_META))</f>
        <v/>
      </c>
      <c r="O920" s="37" t="n"/>
    </row>
    <row r="921">
      <c r="A921" s="36" t="n"/>
      <c r="B921" s="37" t="n"/>
      <c r="C921" s="37" t="n"/>
      <c r="D921" s="38">
        <f>IF(C921="","",IFERROR(INDEX(Anuncios!$B$6:$B$65,MATCH(C921,Anuncios!$A$6:$A$65,0)),"(no está en Anuncios)"))</f>
        <v/>
      </c>
      <c r="E921" s="39" t="n"/>
      <c r="F921" s="40" t="n"/>
      <c r="G921" s="40" t="n"/>
      <c r="H921" s="40" t="n"/>
      <c r="I921" s="39" t="n"/>
      <c r="J921" s="13">
        <f>IF(N(F921)&gt;0,G921/F921,"")</f>
        <v/>
      </c>
      <c r="K921" s="10">
        <f>IF(N(G921)&gt;0,E921/G921,"")</f>
        <v/>
      </c>
      <c r="L921" s="10">
        <f>IF(N(H921)&gt;0,E921/H921,"")</f>
        <v/>
      </c>
      <c r="M921" s="11">
        <f>IF(N(E921)&gt;0,I921/E921,"")</f>
        <v/>
      </c>
      <c r="N921" s="10">
        <f>IF(AND(E921="",I921=""),"",N(I921)*(1-COM-COM_SHOP)-N(E921)*(1+IMP_META))</f>
        <v/>
      </c>
      <c r="O921" s="37" t="n"/>
    </row>
    <row r="922">
      <c r="A922" s="36" t="n"/>
      <c r="B922" s="37" t="n"/>
      <c r="C922" s="37" t="n"/>
      <c r="D922" s="38">
        <f>IF(C922="","",IFERROR(INDEX(Anuncios!$B$6:$B$65,MATCH(C922,Anuncios!$A$6:$A$65,0)),"(no está en Anuncios)"))</f>
        <v/>
      </c>
      <c r="E922" s="39" t="n"/>
      <c r="F922" s="40" t="n"/>
      <c r="G922" s="40" t="n"/>
      <c r="H922" s="40" t="n"/>
      <c r="I922" s="39" t="n"/>
      <c r="J922" s="13">
        <f>IF(N(F922)&gt;0,G922/F922,"")</f>
        <v/>
      </c>
      <c r="K922" s="10">
        <f>IF(N(G922)&gt;0,E922/G922,"")</f>
        <v/>
      </c>
      <c r="L922" s="10">
        <f>IF(N(H922)&gt;0,E922/H922,"")</f>
        <v/>
      </c>
      <c r="M922" s="11">
        <f>IF(N(E922)&gt;0,I922/E922,"")</f>
        <v/>
      </c>
      <c r="N922" s="10">
        <f>IF(AND(E922="",I922=""),"",N(I922)*(1-COM-COM_SHOP)-N(E922)*(1+IMP_META))</f>
        <v/>
      </c>
      <c r="O922" s="37" t="n"/>
    </row>
    <row r="923">
      <c r="A923" s="36" t="n"/>
      <c r="B923" s="37" t="n"/>
      <c r="C923" s="37" t="n"/>
      <c r="D923" s="38">
        <f>IF(C923="","",IFERROR(INDEX(Anuncios!$B$6:$B$65,MATCH(C923,Anuncios!$A$6:$A$65,0)),"(no está en Anuncios)"))</f>
        <v/>
      </c>
      <c r="E923" s="39" t="n"/>
      <c r="F923" s="40" t="n"/>
      <c r="G923" s="40" t="n"/>
      <c r="H923" s="40" t="n"/>
      <c r="I923" s="39" t="n"/>
      <c r="J923" s="13">
        <f>IF(N(F923)&gt;0,G923/F923,"")</f>
        <v/>
      </c>
      <c r="K923" s="10">
        <f>IF(N(G923)&gt;0,E923/G923,"")</f>
        <v/>
      </c>
      <c r="L923" s="10">
        <f>IF(N(H923)&gt;0,E923/H923,"")</f>
        <v/>
      </c>
      <c r="M923" s="11">
        <f>IF(N(E923)&gt;0,I923/E923,"")</f>
        <v/>
      </c>
      <c r="N923" s="10">
        <f>IF(AND(E923="",I923=""),"",N(I923)*(1-COM-COM_SHOP)-N(E923)*(1+IMP_META))</f>
        <v/>
      </c>
      <c r="O923" s="37" t="n"/>
    </row>
    <row r="924">
      <c r="A924" s="36" t="n"/>
      <c r="B924" s="37" t="n"/>
      <c r="C924" s="37" t="n"/>
      <c r="D924" s="38">
        <f>IF(C924="","",IFERROR(INDEX(Anuncios!$B$6:$B$65,MATCH(C924,Anuncios!$A$6:$A$65,0)),"(no está en Anuncios)"))</f>
        <v/>
      </c>
      <c r="E924" s="39" t="n"/>
      <c r="F924" s="40" t="n"/>
      <c r="G924" s="40" t="n"/>
      <c r="H924" s="40" t="n"/>
      <c r="I924" s="39" t="n"/>
      <c r="J924" s="13">
        <f>IF(N(F924)&gt;0,G924/F924,"")</f>
        <v/>
      </c>
      <c r="K924" s="10">
        <f>IF(N(G924)&gt;0,E924/G924,"")</f>
        <v/>
      </c>
      <c r="L924" s="10">
        <f>IF(N(H924)&gt;0,E924/H924,"")</f>
        <v/>
      </c>
      <c r="M924" s="11">
        <f>IF(N(E924)&gt;0,I924/E924,"")</f>
        <v/>
      </c>
      <c r="N924" s="10">
        <f>IF(AND(E924="",I924=""),"",N(I924)*(1-COM-COM_SHOP)-N(E924)*(1+IMP_META))</f>
        <v/>
      </c>
      <c r="O924" s="37" t="n"/>
    </row>
    <row r="925">
      <c r="A925" s="36" t="n"/>
      <c r="B925" s="37" t="n"/>
      <c r="C925" s="37" t="n"/>
      <c r="D925" s="38">
        <f>IF(C925="","",IFERROR(INDEX(Anuncios!$B$6:$B$65,MATCH(C925,Anuncios!$A$6:$A$65,0)),"(no está en Anuncios)"))</f>
        <v/>
      </c>
      <c r="E925" s="39" t="n"/>
      <c r="F925" s="40" t="n"/>
      <c r="G925" s="40" t="n"/>
      <c r="H925" s="40" t="n"/>
      <c r="I925" s="39" t="n"/>
      <c r="J925" s="13">
        <f>IF(N(F925)&gt;0,G925/F925,"")</f>
        <v/>
      </c>
      <c r="K925" s="10">
        <f>IF(N(G925)&gt;0,E925/G925,"")</f>
        <v/>
      </c>
      <c r="L925" s="10">
        <f>IF(N(H925)&gt;0,E925/H925,"")</f>
        <v/>
      </c>
      <c r="M925" s="11">
        <f>IF(N(E925)&gt;0,I925/E925,"")</f>
        <v/>
      </c>
      <c r="N925" s="10">
        <f>IF(AND(E925="",I925=""),"",N(I925)*(1-COM-COM_SHOP)-N(E925)*(1+IMP_META))</f>
        <v/>
      </c>
      <c r="O925" s="37" t="n"/>
    </row>
    <row r="926">
      <c r="A926" s="36" t="n"/>
      <c r="B926" s="37" t="n"/>
      <c r="C926" s="37" t="n"/>
      <c r="D926" s="38">
        <f>IF(C926="","",IFERROR(INDEX(Anuncios!$B$6:$B$65,MATCH(C926,Anuncios!$A$6:$A$65,0)),"(no está en Anuncios)"))</f>
        <v/>
      </c>
      <c r="E926" s="39" t="n"/>
      <c r="F926" s="40" t="n"/>
      <c r="G926" s="40" t="n"/>
      <c r="H926" s="40" t="n"/>
      <c r="I926" s="39" t="n"/>
      <c r="J926" s="13">
        <f>IF(N(F926)&gt;0,G926/F926,"")</f>
        <v/>
      </c>
      <c r="K926" s="10">
        <f>IF(N(G926)&gt;0,E926/G926,"")</f>
        <v/>
      </c>
      <c r="L926" s="10">
        <f>IF(N(H926)&gt;0,E926/H926,"")</f>
        <v/>
      </c>
      <c r="M926" s="11">
        <f>IF(N(E926)&gt;0,I926/E926,"")</f>
        <v/>
      </c>
      <c r="N926" s="10">
        <f>IF(AND(E926="",I926=""),"",N(I926)*(1-COM-COM_SHOP)-N(E926)*(1+IMP_META))</f>
        <v/>
      </c>
      <c r="O926" s="37" t="n"/>
    </row>
    <row r="927">
      <c r="A927" s="36" t="n"/>
      <c r="B927" s="37" t="n"/>
      <c r="C927" s="37" t="n"/>
      <c r="D927" s="38">
        <f>IF(C927="","",IFERROR(INDEX(Anuncios!$B$6:$B$65,MATCH(C927,Anuncios!$A$6:$A$65,0)),"(no está en Anuncios)"))</f>
        <v/>
      </c>
      <c r="E927" s="39" t="n"/>
      <c r="F927" s="40" t="n"/>
      <c r="G927" s="40" t="n"/>
      <c r="H927" s="40" t="n"/>
      <c r="I927" s="39" t="n"/>
      <c r="J927" s="13">
        <f>IF(N(F927)&gt;0,G927/F927,"")</f>
        <v/>
      </c>
      <c r="K927" s="10">
        <f>IF(N(G927)&gt;0,E927/G927,"")</f>
        <v/>
      </c>
      <c r="L927" s="10">
        <f>IF(N(H927)&gt;0,E927/H927,"")</f>
        <v/>
      </c>
      <c r="M927" s="11">
        <f>IF(N(E927)&gt;0,I927/E927,"")</f>
        <v/>
      </c>
      <c r="N927" s="10">
        <f>IF(AND(E927="",I927=""),"",N(I927)*(1-COM-COM_SHOP)-N(E927)*(1+IMP_META))</f>
        <v/>
      </c>
      <c r="O927" s="37" t="n"/>
    </row>
    <row r="928">
      <c r="A928" s="36" t="n"/>
      <c r="B928" s="37" t="n"/>
      <c r="C928" s="37" t="n"/>
      <c r="D928" s="38">
        <f>IF(C928="","",IFERROR(INDEX(Anuncios!$B$6:$B$65,MATCH(C928,Anuncios!$A$6:$A$65,0)),"(no está en Anuncios)"))</f>
        <v/>
      </c>
      <c r="E928" s="39" t="n"/>
      <c r="F928" s="40" t="n"/>
      <c r="G928" s="40" t="n"/>
      <c r="H928" s="40" t="n"/>
      <c r="I928" s="39" t="n"/>
      <c r="J928" s="13">
        <f>IF(N(F928)&gt;0,G928/F928,"")</f>
        <v/>
      </c>
      <c r="K928" s="10">
        <f>IF(N(G928)&gt;0,E928/G928,"")</f>
        <v/>
      </c>
      <c r="L928" s="10">
        <f>IF(N(H928)&gt;0,E928/H928,"")</f>
        <v/>
      </c>
      <c r="M928" s="11">
        <f>IF(N(E928)&gt;0,I928/E928,"")</f>
        <v/>
      </c>
      <c r="N928" s="10">
        <f>IF(AND(E928="",I928=""),"",N(I928)*(1-COM-COM_SHOP)-N(E928)*(1+IMP_META))</f>
        <v/>
      </c>
      <c r="O928" s="37" t="n"/>
    </row>
    <row r="929">
      <c r="A929" s="36" t="n"/>
      <c r="B929" s="37" t="n"/>
      <c r="C929" s="37" t="n"/>
      <c r="D929" s="38">
        <f>IF(C929="","",IFERROR(INDEX(Anuncios!$B$6:$B$65,MATCH(C929,Anuncios!$A$6:$A$65,0)),"(no está en Anuncios)"))</f>
        <v/>
      </c>
      <c r="E929" s="39" t="n"/>
      <c r="F929" s="40" t="n"/>
      <c r="G929" s="40" t="n"/>
      <c r="H929" s="40" t="n"/>
      <c r="I929" s="39" t="n"/>
      <c r="J929" s="13">
        <f>IF(N(F929)&gt;0,G929/F929,"")</f>
        <v/>
      </c>
      <c r="K929" s="10">
        <f>IF(N(G929)&gt;0,E929/G929,"")</f>
        <v/>
      </c>
      <c r="L929" s="10">
        <f>IF(N(H929)&gt;0,E929/H929,"")</f>
        <v/>
      </c>
      <c r="M929" s="11">
        <f>IF(N(E929)&gt;0,I929/E929,"")</f>
        <v/>
      </c>
      <c r="N929" s="10">
        <f>IF(AND(E929="",I929=""),"",N(I929)*(1-COM-COM_SHOP)-N(E929)*(1+IMP_META))</f>
        <v/>
      </c>
      <c r="O929" s="37" t="n"/>
    </row>
    <row r="930">
      <c r="A930" s="36" t="n"/>
      <c r="B930" s="37" t="n"/>
      <c r="C930" s="37" t="n"/>
      <c r="D930" s="38">
        <f>IF(C930="","",IFERROR(INDEX(Anuncios!$B$6:$B$65,MATCH(C930,Anuncios!$A$6:$A$65,0)),"(no está en Anuncios)"))</f>
        <v/>
      </c>
      <c r="E930" s="39" t="n"/>
      <c r="F930" s="40" t="n"/>
      <c r="G930" s="40" t="n"/>
      <c r="H930" s="40" t="n"/>
      <c r="I930" s="39" t="n"/>
      <c r="J930" s="13">
        <f>IF(N(F930)&gt;0,G930/F930,"")</f>
        <v/>
      </c>
      <c r="K930" s="10">
        <f>IF(N(G930)&gt;0,E930/G930,"")</f>
        <v/>
      </c>
      <c r="L930" s="10">
        <f>IF(N(H930)&gt;0,E930/H930,"")</f>
        <v/>
      </c>
      <c r="M930" s="11">
        <f>IF(N(E930)&gt;0,I930/E930,"")</f>
        <v/>
      </c>
      <c r="N930" s="10">
        <f>IF(AND(E930="",I930=""),"",N(I930)*(1-COM-COM_SHOP)-N(E930)*(1+IMP_META))</f>
        <v/>
      </c>
      <c r="O930" s="37" t="n"/>
    </row>
    <row r="931">
      <c r="A931" s="36" t="n"/>
      <c r="B931" s="37" t="n"/>
      <c r="C931" s="37" t="n"/>
      <c r="D931" s="38">
        <f>IF(C931="","",IFERROR(INDEX(Anuncios!$B$6:$B$65,MATCH(C931,Anuncios!$A$6:$A$65,0)),"(no está en Anuncios)"))</f>
        <v/>
      </c>
      <c r="E931" s="39" t="n"/>
      <c r="F931" s="40" t="n"/>
      <c r="G931" s="40" t="n"/>
      <c r="H931" s="40" t="n"/>
      <c r="I931" s="39" t="n"/>
      <c r="J931" s="13">
        <f>IF(N(F931)&gt;0,G931/F931,"")</f>
        <v/>
      </c>
      <c r="K931" s="10">
        <f>IF(N(G931)&gt;0,E931/G931,"")</f>
        <v/>
      </c>
      <c r="L931" s="10">
        <f>IF(N(H931)&gt;0,E931/H931,"")</f>
        <v/>
      </c>
      <c r="M931" s="11">
        <f>IF(N(E931)&gt;0,I931/E931,"")</f>
        <v/>
      </c>
      <c r="N931" s="10">
        <f>IF(AND(E931="",I931=""),"",N(I931)*(1-COM-COM_SHOP)-N(E931)*(1+IMP_META))</f>
        <v/>
      </c>
      <c r="O931" s="37" t="n"/>
    </row>
    <row r="932">
      <c r="A932" s="36" t="n"/>
      <c r="B932" s="37" t="n"/>
      <c r="C932" s="37" t="n"/>
      <c r="D932" s="38">
        <f>IF(C932="","",IFERROR(INDEX(Anuncios!$B$6:$B$65,MATCH(C932,Anuncios!$A$6:$A$65,0)),"(no está en Anuncios)"))</f>
        <v/>
      </c>
      <c r="E932" s="39" t="n"/>
      <c r="F932" s="40" t="n"/>
      <c r="G932" s="40" t="n"/>
      <c r="H932" s="40" t="n"/>
      <c r="I932" s="39" t="n"/>
      <c r="J932" s="13">
        <f>IF(N(F932)&gt;0,G932/F932,"")</f>
        <v/>
      </c>
      <c r="K932" s="10">
        <f>IF(N(G932)&gt;0,E932/G932,"")</f>
        <v/>
      </c>
      <c r="L932" s="10">
        <f>IF(N(H932)&gt;0,E932/H932,"")</f>
        <v/>
      </c>
      <c r="M932" s="11">
        <f>IF(N(E932)&gt;0,I932/E932,"")</f>
        <v/>
      </c>
      <c r="N932" s="10">
        <f>IF(AND(E932="",I932=""),"",N(I932)*(1-COM-COM_SHOP)-N(E932)*(1+IMP_META))</f>
        <v/>
      </c>
      <c r="O932" s="37" t="n"/>
    </row>
    <row r="933">
      <c r="A933" s="36" t="n"/>
      <c r="B933" s="37" t="n"/>
      <c r="C933" s="37" t="n"/>
      <c r="D933" s="38">
        <f>IF(C933="","",IFERROR(INDEX(Anuncios!$B$6:$B$65,MATCH(C933,Anuncios!$A$6:$A$65,0)),"(no está en Anuncios)"))</f>
        <v/>
      </c>
      <c r="E933" s="39" t="n"/>
      <c r="F933" s="40" t="n"/>
      <c r="G933" s="40" t="n"/>
      <c r="H933" s="40" t="n"/>
      <c r="I933" s="39" t="n"/>
      <c r="J933" s="13">
        <f>IF(N(F933)&gt;0,G933/F933,"")</f>
        <v/>
      </c>
      <c r="K933" s="10">
        <f>IF(N(G933)&gt;0,E933/G933,"")</f>
        <v/>
      </c>
      <c r="L933" s="10">
        <f>IF(N(H933)&gt;0,E933/H933,"")</f>
        <v/>
      </c>
      <c r="M933" s="11">
        <f>IF(N(E933)&gt;0,I933/E933,"")</f>
        <v/>
      </c>
      <c r="N933" s="10">
        <f>IF(AND(E933="",I933=""),"",N(I933)*(1-COM-COM_SHOP)-N(E933)*(1+IMP_META))</f>
        <v/>
      </c>
      <c r="O933" s="37" t="n"/>
    </row>
    <row r="934">
      <c r="A934" s="36" t="n"/>
      <c r="B934" s="37" t="n"/>
      <c r="C934" s="37" t="n"/>
      <c r="D934" s="38">
        <f>IF(C934="","",IFERROR(INDEX(Anuncios!$B$6:$B$65,MATCH(C934,Anuncios!$A$6:$A$65,0)),"(no está en Anuncios)"))</f>
        <v/>
      </c>
      <c r="E934" s="39" t="n"/>
      <c r="F934" s="40" t="n"/>
      <c r="G934" s="40" t="n"/>
      <c r="H934" s="40" t="n"/>
      <c r="I934" s="39" t="n"/>
      <c r="J934" s="13">
        <f>IF(N(F934)&gt;0,G934/F934,"")</f>
        <v/>
      </c>
      <c r="K934" s="10">
        <f>IF(N(G934)&gt;0,E934/G934,"")</f>
        <v/>
      </c>
      <c r="L934" s="10">
        <f>IF(N(H934)&gt;0,E934/H934,"")</f>
        <v/>
      </c>
      <c r="M934" s="11">
        <f>IF(N(E934)&gt;0,I934/E934,"")</f>
        <v/>
      </c>
      <c r="N934" s="10">
        <f>IF(AND(E934="",I934=""),"",N(I934)*(1-COM-COM_SHOP)-N(E934)*(1+IMP_META))</f>
        <v/>
      </c>
      <c r="O934" s="37" t="n"/>
    </row>
    <row r="935">
      <c r="A935" s="36" t="n"/>
      <c r="B935" s="37" t="n"/>
      <c r="C935" s="37" t="n"/>
      <c r="D935" s="38">
        <f>IF(C935="","",IFERROR(INDEX(Anuncios!$B$6:$B$65,MATCH(C935,Anuncios!$A$6:$A$65,0)),"(no está en Anuncios)"))</f>
        <v/>
      </c>
      <c r="E935" s="39" t="n"/>
      <c r="F935" s="40" t="n"/>
      <c r="G935" s="40" t="n"/>
      <c r="H935" s="40" t="n"/>
      <c r="I935" s="39" t="n"/>
      <c r="J935" s="13">
        <f>IF(N(F935)&gt;0,G935/F935,"")</f>
        <v/>
      </c>
      <c r="K935" s="10">
        <f>IF(N(G935)&gt;0,E935/G935,"")</f>
        <v/>
      </c>
      <c r="L935" s="10">
        <f>IF(N(H935)&gt;0,E935/H935,"")</f>
        <v/>
      </c>
      <c r="M935" s="11">
        <f>IF(N(E935)&gt;0,I935/E935,"")</f>
        <v/>
      </c>
      <c r="N935" s="10">
        <f>IF(AND(E935="",I935=""),"",N(I935)*(1-COM-COM_SHOP)-N(E935)*(1+IMP_META))</f>
        <v/>
      </c>
      <c r="O935" s="37" t="n"/>
    </row>
    <row r="936">
      <c r="A936" s="36" t="n"/>
      <c r="B936" s="37" t="n"/>
      <c r="C936" s="37" t="n"/>
      <c r="D936" s="38">
        <f>IF(C936="","",IFERROR(INDEX(Anuncios!$B$6:$B$65,MATCH(C936,Anuncios!$A$6:$A$65,0)),"(no está en Anuncios)"))</f>
        <v/>
      </c>
      <c r="E936" s="39" t="n"/>
      <c r="F936" s="40" t="n"/>
      <c r="G936" s="40" t="n"/>
      <c r="H936" s="40" t="n"/>
      <c r="I936" s="39" t="n"/>
      <c r="J936" s="13">
        <f>IF(N(F936)&gt;0,G936/F936,"")</f>
        <v/>
      </c>
      <c r="K936" s="10">
        <f>IF(N(G936)&gt;0,E936/G936,"")</f>
        <v/>
      </c>
      <c r="L936" s="10">
        <f>IF(N(H936)&gt;0,E936/H936,"")</f>
        <v/>
      </c>
      <c r="M936" s="11">
        <f>IF(N(E936)&gt;0,I936/E936,"")</f>
        <v/>
      </c>
      <c r="N936" s="10">
        <f>IF(AND(E936="",I936=""),"",N(I936)*(1-COM-COM_SHOP)-N(E936)*(1+IMP_META))</f>
        <v/>
      </c>
      <c r="O936" s="37" t="n"/>
    </row>
    <row r="937">
      <c r="A937" s="36" t="n"/>
      <c r="B937" s="37" t="n"/>
      <c r="C937" s="37" t="n"/>
      <c r="D937" s="38">
        <f>IF(C937="","",IFERROR(INDEX(Anuncios!$B$6:$B$65,MATCH(C937,Anuncios!$A$6:$A$65,0)),"(no está en Anuncios)"))</f>
        <v/>
      </c>
      <c r="E937" s="39" t="n"/>
      <c r="F937" s="40" t="n"/>
      <c r="G937" s="40" t="n"/>
      <c r="H937" s="40" t="n"/>
      <c r="I937" s="39" t="n"/>
      <c r="J937" s="13">
        <f>IF(N(F937)&gt;0,G937/F937,"")</f>
        <v/>
      </c>
      <c r="K937" s="10">
        <f>IF(N(G937)&gt;0,E937/G937,"")</f>
        <v/>
      </c>
      <c r="L937" s="10">
        <f>IF(N(H937)&gt;0,E937/H937,"")</f>
        <v/>
      </c>
      <c r="M937" s="11">
        <f>IF(N(E937)&gt;0,I937/E937,"")</f>
        <v/>
      </c>
      <c r="N937" s="10">
        <f>IF(AND(E937="",I937=""),"",N(I937)*(1-COM-COM_SHOP)-N(E937)*(1+IMP_META))</f>
        <v/>
      </c>
      <c r="O937" s="37" t="n"/>
    </row>
    <row r="938">
      <c r="A938" s="36" t="n"/>
      <c r="B938" s="37" t="n"/>
      <c r="C938" s="37" t="n"/>
      <c r="D938" s="38">
        <f>IF(C938="","",IFERROR(INDEX(Anuncios!$B$6:$B$65,MATCH(C938,Anuncios!$A$6:$A$65,0)),"(no está en Anuncios)"))</f>
        <v/>
      </c>
      <c r="E938" s="39" t="n"/>
      <c r="F938" s="40" t="n"/>
      <c r="G938" s="40" t="n"/>
      <c r="H938" s="40" t="n"/>
      <c r="I938" s="39" t="n"/>
      <c r="J938" s="13">
        <f>IF(N(F938)&gt;0,G938/F938,"")</f>
        <v/>
      </c>
      <c r="K938" s="10">
        <f>IF(N(G938)&gt;0,E938/G938,"")</f>
        <v/>
      </c>
      <c r="L938" s="10">
        <f>IF(N(H938)&gt;0,E938/H938,"")</f>
        <v/>
      </c>
      <c r="M938" s="11">
        <f>IF(N(E938)&gt;0,I938/E938,"")</f>
        <v/>
      </c>
      <c r="N938" s="10">
        <f>IF(AND(E938="",I938=""),"",N(I938)*(1-COM-COM_SHOP)-N(E938)*(1+IMP_META))</f>
        <v/>
      </c>
      <c r="O938" s="37" t="n"/>
    </row>
    <row r="939">
      <c r="A939" s="36" t="n"/>
      <c r="B939" s="37" t="n"/>
      <c r="C939" s="37" t="n"/>
      <c r="D939" s="38">
        <f>IF(C939="","",IFERROR(INDEX(Anuncios!$B$6:$B$65,MATCH(C939,Anuncios!$A$6:$A$65,0)),"(no está en Anuncios)"))</f>
        <v/>
      </c>
      <c r="E939" s="39" t="n"/>
      <c r="F939" s="40" t="n"/>
      <c r="G939" s="40" t="n"/>
      <c r="H939" s="40" t="n"/>
      <c r="I939" s="39" t="n"/>
      <c r="J939" s="13">
        <f>IF(N(F939)&gt;0,G939/F939,"")</f>
        <v/>
      </c>
      <c r="K939" s="10">
        <f>IF(N(G939)&gt;0,E939/G939,"")</f>
        <v/>
      </c>
      <c r="L939" s="10">
        <f>IF(N(H939)&gt;0,E939/H939,"")</f>
        <v/>
      </c>
      <c r="M939" s="11">
        <f>IF(N(E939)&gt;0,I939/E939,"")</f>
        <v/>
      </c>
      <c r="N939" s="10">
        <f>IF(AND(E939="",I939=""),"",N(I939)*(1-COM-COM_SHOP)-N(E939)*(1+IMP_META))</f>
        <v/>
      </c>
      <c r="O939" s="37" t="n"/>
    </row>
    <row r="940">
      <c r="A940" s="36" t="n"/>
      <c r="B940" s="37" t="n"/>
      <c r="C940" s="37" t="n"/>
      <c r="D940" s="38">
        <f>IF(C940="","",IFERROR(INDEX(Anuncios!$B$6:$B$65,MATCH(C940,Anuncios!$A$6:$A$65,0)),"(no está en Anuncios)"))</f>
        <v/>
      </c>
      <c r="E940" s="39" t="n"/>
      <c r="F940" s="40" t="n"/>
      <c r="G940" s="40" t="n"/>
      <c r="H940" s="40" t="n"/>
      <c r="I940" s="39" t="n"/>
      <c r="J940" s="13">
        <f>IF(N(F940)&gt;0,G940/F940,"")</f>
        <v/>
      </c>
      <c r="K940" s="10">
        <f>IF(N(G940)&gt;0,E940/G940,"")</f>
        <v/>
      </c>
      <c r="L940" s="10">
        <f>IF(N(H940)&gt;0,E940/H940,"")</f>
        <v/>
      </c>
      <c r="M940" s="11">
        <f>IF(N(E940)&gt;0,I940/E940,"")</f>
        <v/>
      </c>
      <c r="N940" s="10">
        <f>IF(AND(E940="",I940=""),"",N(I940)*(1-COM-COM_SHOP)-N(E940)*(1+IMP_META))</f>
        <v/>
      </c>
      <c r="O940" s="37" t="n"/>
    </row>
    <row r="941">
      <c r="A941" s="36" t="n"/>
      <c r="B941" s="37" t="n"/>
      <c r="C941" s="37" t="n"/>
      <c r="D941" s="38">
        <f>IF(C941="","",IFERROR(INDEX(Anuncios!$B$6:$B$65,MATCH(C941,Anuncios!$A$6:$A$65,0)),"(no está en Anuncios)"))</f>
        <v/>
      </c>
      <c r="E941" s="39" t="n"/>
      <c r="F941" s="40" t="n"/>
      <c r="G941" s="40" t="n"/>
      <c r="H941" s="40" t="n"/>
      <c r="I941" s="39" t="n"/>
      <c r="J941" s="13">
        <f>IF(N(F941)&gt;0,G941/F941,"")</f>
        <v/>
      </c>
      <c r="K941" s="10">
        <f>IF(N(G941)&gt;0,E941/G941,"")</f>
        <v/>
      </c>
      <c r="L941" s="10">
        <f>IF(N(H941)&gt;0,E941/H941,"")</f>
        <v/>
      </c>
      <c r="M941" s="11">
        <f>IF(N(E941)&gt;0,I941/E941,"")</f>
        <v/>
      </c>
      <c r="N941" s="10">
        <f>IF(AND(E941="",I941=""),"",N(I941)*(1-COM-COM_SHOP)-N(E941)*(1+IMP_META))</f>
        <v/>
      </c>
      <c r="O941" s="37" t="n"/>
    </row>
    <row r="942">
      <c r="A942" s="36" t="n"/>
      <c r="B942" s="37" t="n"/>
      <c r="C942" s="37" t="n"/>
      <c r="D942" s="38">
        <f>IF(C942="","",IFERROR(INDEX(Anuncios!$B$6:$B$65,MATCH(C942,Anuncios!$A$6:$A$65,0)),"(no está en Anuncios)"))</f>
        <v/>
      </c>
      <c r="E942" s="39" t="n"/>
      <c r="F942" s="40" t="n"/>
      <c r="G942" s="40" t="n"/>
      <c r="H942" s="40" t="n"/>
      <c r="I942" s="39" t="n"/>
      <c r="J942" s="13">
        <f>IF(N(F942)&gt;0,G942/F942,"")</f>
        <v/>
      </c>
      <c r="K942" s="10">
        <f>IF(N(G942)&gt;0,E942/G942,"")</f>
        <v/>
      </c>
      <c r="L942" s="10">
        <f>IF(N(H942)&gt;0,E942/H942,"")</f>
        <v/>
      </c>
      <c r="M942" s="11">
        <f>IF(N(E942)&gt;0,I942/E942,"")</f>
        <v/>
      </c>
      <c r="N942" s="10">
        <f>IF(AND(E942="",I942=""),"",N(I942)*(1-COM-COM_SHOP)-N(E942)*(1+IMP_META))</f>
        <v/>
      </c>
      <c r="O942" s="37" t="n"/>
    </row>
    <row r="943">
      <c r="A943" s="36" t="n"/>
      <c r="B943" s="37" t="n"/>
      <c r="C943" s="37" t="n"/>
      <c r="D943" s="38">
        <f>IF(C943="","",IFERROR(INDEX(Anuncios!$B$6:$B$65,MATCH(C943,Anuncios!$A$6:$A$65,0)),"(no está en Anuncios)"))</f>
        <v/>
      </c>
      <c r="E943" s="39" t="n"/>
      <c r="F943" s="40" t="n"/>
      <c r="G943" s="40" t="n"/>
      <c r="H943" s="40" t="n"/>
      <c r="I943" s="39" t="n"/>
      <c r="J943" s="13">
        <f>IF(N(F943)&gt;0,G943/F943,"")</f>
        <v/>
      </c>
      <c r="K943" s="10">
        <f>IF(N(G943)&gt;0,E943/G943,"")</f>
        <v/>
      </c>
      <c r="L943" s="10">
        <f>IF(N(H943)&gt;0,E943/H943,"")</f>
        <v/>
      </c>
      <c r="M943" s="11">
        <f>IF(N(E943)&gt;0,I943/E943,"")</f>
        <v/>
      </c>
      <c r="N943" s="10">
        <f>IF(AND(E943="",I943=""),"",N(I943)*(1-COM-COM_SHOP)-N(E943)*(1+IMP_META))</f>
        <v/>
      </c>
      <c r="O943" s="37" t="n"/>
    </row>
    <row r="944">
      <c r="A944" s="36" t="n"/>
      <c r="B944" s="37" t="n"/>
      <c r="C944" s="37" t="n"/>
      <c r="D944" s="38">
        <f>IF(C944="","",IFERROR(INDEX(Anuncios!$B$6:$B$65,MATCH(C944,Anuncios!$A$6:$A$65,0)),"(no está en Anuncios)"))</f>
        <v/>
      </c>
      <c r="E944" s="39" t="n"/>
      <c r="F944" s="40" t="n"/>
      <c r="G944" s="40" t="n"/>
      <c r="H944" s="40" t="n"/>
      <c r="I944" s="39" t="n"/>
      <c r="J944" s="13">
        <f>IF(N(F944)&gt;0,G944/F944,"")</f>
        <v/>
      </c>
      <c r="K944" s="10">
        <f>IF(N(G944)&gt;0,E944/G944,"")</f>
        <v/>
      </c>
      <c r="L944" s="10">
        <f>IF(N(H944)&gt;0,E944/H944,"")</f>
        <v/>
      </c>
      <c r="M944" s="11">
        <f>IF(N(E944)&gt;0,I944/E944,"")</f>
        <v/>
      </c>
      <c r="N944" s="10">
        <f>IF(AND(E944="",I944=""),"",N(I944)*(1-COM-COM_SHOP)-N(E944)*(1+IMP_META))</f>
        <v/>
      </c>
      <c r="O944" s="37" t="n"/>
    </row>
    <row r="945">
      <c r="A945" s="36" t="n"/>
      <c r="B945" s="37" t="n"/>
      <c r="C945" s="37" t="n"/>
      <c r="D945" s="38">
        <f>IF(C945="","",IFERROR(INDEX(Anuncios!$B$6:$B$65,MATCH(C945,Anuncios!$A$6:$A$65,0)),"(no está en Anuncios)"))</f>
        <v/>
      </c>
      <c r="E945" s="39" t="n"/>
      <c r="F945" s="40" t="n"/>
      <c r="G945" s="40" t="n"/>
      <c r="H945" s="40" t="n"/>
      <c r="I945" s="39" t="n"/>
      <c r="J945" s="13">
        <f>IF(N(F945)&gt;0,G945/F945,"")</f>
        <v/>
      </c>
      <c r="K945" s="10">
        <f>IF(N(G945)&gt;0,E945/G945,"")</f>
        <v/>
      </c>
      <c r="L945" s="10">
        <f>IF(N(H945)&gt;0,E945/H945,"")</f>
        <v/>
      </c>
      <c r="M945" s="11">
        <f>IF(N(E945)&gt;0,I945/E945,"")</f>
        <v/>
      </c>
      <c r="N945" s="10">
        <f>IF(AND(E945="",I945=""),"",N(I945)*(1-COM-COM_SHOP)-N(E945)*(1+IMP_META))</f>
        <v/>
      </c>
      <c r="O945" s="37" t="n"/>
    </row>
    <row r="946">
      <c r="A946" s="36" t="n"/>
      <c r="B946" s="37" t="n"/>
      <c r="C946" s="37" t="n"/>
      <c r="D946" s="38">
        <f>IF(C946="","",IFERROR(INDEX(Anuncios!$B$6:$B$65,MATCH(C946,Anuncios!$A$6:$A$65,0)),"(no está en Anuncios)"))</f>
        <v/>
      </c>
      <c r="E946" s="39" t="n"/>
      <c r="F946" s="40" t="n"/>
      <c r="G946" s="40" t="n"/>
      <c r="H946" s="40" t="n"/>
      <c r="I946" s="39" t="n"/>
      <c r="J946" s="13">
        <f>IF(N(F946)&gt;0,G946/F946,"")</f>
        <v/>
      </c>
      <c r="K946" s="10">
        <f>IF(N(G946)&gt;0,E946/G946,"")</f>
        <v/>
      </c>
      <c r="L946" s="10">
        <f>IF(N(H946)&gt;0,E946/H946,"")</f>
        <v/>
      </c>
      <c r="M946" s="11">
        <f>IF(N(E946)&gt;0,I946/E946,"")</f>
        <v/>
      </c>
      <c r="N946" s="10">
        <f>IF(AND(E946="",I946=""),"",N(I946)*(1-COM-COM_SHOP)-N(E946)*(1+IMP_META))</f>
        <v/>
      </c>
      <c r="O946" s="37" t="n"/>
    </row>
    <row r="947">
      <c r="A947" s="36" t="n"/>
      <c r="B947" s="37" t="n"/>
      <c r="C947" s="37" t="n"/>
      <c r="D947" s="38">
        <f>IF(C947="","",IFERROR(INDEX(Anuncios!$B$6:$B$65,MATCH(C947,Anuncios!$A$6:$A$65,0)),"(no está en Anuncios)"))</f>
        <v/>
      </c>
      <c r="E947" s="39" t="n"/>
      <c r="F947" s="40" t="n"/>
      <c r="G947" s="40" t="n"/>
      <c r="H947" s="40" t="n"/>
      <c r="I947" s="39" t="n"/>
      <c r="J947" s="13">
        <f>IF(N(F947)&gt;0,G947/F947,"")</f>
        <v/>
      </c>
      <c r="K947" s="10">
        <f>IF(N(G947)&gt;0,E947/G947,"")</f>
        <v/>
      </c>
      <c r="L947" s="10">
        <f>IF(N(H947)&gt;0,E947/H947,"")</f>
        <v/>
      </c>
      <c r="M947" s="11">
        <f>IF(N(E947)&gt;0,I947/E947,"")</f>
        <v/>
      </c>
      <c r="N947" s="10">
        <f>IF(AND(E947="",I947=""),"",N(I947)*(1-COM-COM_SHOP)-N(E947)*(1+IMP_META))</f>
        <v/>
      </c>
      <c r="O947" s="37" t="n"/>
    </row>
    <row r="948">
      <c r="A948" s="36" t="n"/>
      <c r="B948" s="37" t="n"/>
      <c r="C948" s="37" t="n"/>
      <c r="D948" s="38">
        <f>IF(C948="","",IFERROR(INDEX(Anuncios!$B$6:$B$65,MATCH(C948,Anuncios!$A$6:$A$65,0)),"(no está en Anuncios)"))</f>
        <v/>
      </c>
      <c r="E948" s="39" t="n"/>
      <c r="F948" s="40" t="n"/>
      <c r="G948" s="40" t="n"/>
      <c r="H948" s="40" t="n"/>
      <c r="I948" s="39" t="n"/>
      <c r="J948" s="13">
        <f>IF(N(F948)&gt;0,G948/F948,"")</f>
        <v/>
      </c>
      <c r="K948" s="10">
        <f>IF(N(G948)&gt;0,E948/G948,"")</f>
        <v/>
      </c>
      <c r="L948" s="10">
        <f>IF(N(H948)&gt;0,E948/H948,"")</f>
        <v/>
      </c>
      <c r="M948" s="11">
        <f>IF(N(E948)&gt;0,I948/E948,"")</f>
        <v/>
      </c>
      <c r="N948" s="10">
        <f>IF(AND(E948="",I948=""),"",N(I948)*(1-COM-COM_SHOP)-N(E948)*(1+IMP_META))</f>
        <v/>
      </c>
      <c r="O948" s="37" t="n"/>
    </row>
    <row r="949">
      <c r="A949" s="36" t="n"/>
      <c r="B949" s="37" t="n"/>
      <c r="C949" s="37" t="n"/>
      <c r="D949" s="38">
        <f>IF(C949="","",IFERROR(INDEX(Anuncios!$B$6:$B$65,MATCH(C949,Anuncios!$A$6:$A$65,0)),"(no está en Anuncios)"))</f>
        <v/>
      </c>
      <c r="E949" s="39" t="n"/>
      <c r="F949" s="40" t="n"/>
      <c r="G949" s="40" t="n"/>
      <c r="H949" s="40" t="n"/>
      <c r="I949" s="39" t="n"/>
      <c r="J949" s="13">
        <f>IF(N(F949)&gt;0,G949/F949,"")</f>
        <v/>
      </c>
      <c r="K949" s="10">
        <f>IF(N(G949)&gt;0,E949/G949,"")</f>
        <v/>
      </c>
      <c r="L949" s="10">
        <f>IF(N(H949)&gt;0,E949/H949,"")</f>
        <v/>
      </c>
      <c r="M949" s="11">
        <f>IF(N(E949)&gt;0,I949/E949,"")</f>
        <v/>
      </c>
      <c r="N949" s="10">
        <f>IF(AND(E949="",I949=""),"",N(I949)*(1-COM-COM_SHOP)-N(E949)*(1+IMP_META))</f>
        <v/>
      </c>
      <c r="O949" s="37" t="n"/>
    </row>
    <row r="950">
      <c r="A950" s="36" t="n"/>
      <c r="B950" s="37" t="n"/>
      <c r="C950" s="37" t="n"/>
      <c r="D950" s="38">
        <f>IF(C950="","",IFERROR(INDEX(Anuncios!$B$6:$B$65,MATCH(C950,Anuncios!$A$6:$A$65,0)),"(no está en Anuncios)"))</f>
        <v/>
      </c>
      <c r="E950" s="39" t="n"/>
      <c r="F950" s="40" t="n"/>
      <c r="G950" s="40" t="n"/>
      <c r="H950" s="40" t="n"/>
      <c r="I950" s="39" t="n"/>
      <c r="J950" s="13">
        <f>IF(N(F950)&gt;0,G950/F950,"")</f>
        <v/>
      </c>
      <c r="K950" s="10">
        <f>IF(N(G950)&gt;0,E950/G950,"")</f>
        <v/>
      </c>
      <c r="L950" s="10">
        <f>IF(N(H950)&gt;0,E950/H950,"")</f>
        <v/>
      </c>
      <c r="M950" s="11">
        <f>IF(N(E950)&gt;0,I950/E950,"")</f>
        <v/>
      </c>
      <c r="N950" s="10">
        <f>IF(AND(E950="",I950=""),"",N(I950)*(1-COM-COM_SHOP)-N(E950)*(1+IMP_META))</f>
        <v/>
      </c>
      <c r="O950" s="37" t="n"/>
    </row>
    <row r="951">
      <c r="A951" s="36" t="n"/>
      <c r="B951" s="37" t="n"/>
      <c r="C951" s="37" t="n"/>
      <c r="D951" s="38">
        <f>IF(C951="","",IFERROR(INDEX(Anuncios!$B$6:$B$65,MATCH(C951,Anuncios!$A$6:$A$65,0)),"(no está en Anuncios)"))</f>
        <v/>
      </c>
      <c r="E951" s="39" t="n"/>
      <c r="F951" s="40" t="n"/>
      <c r="G951" s="40" t="n"/>
      <c r="H951" s="40" t="n"/>
      <c r="I951" s="39" t="n"/>
      <c r="J951" s="13">
        <f>IF(N(F951)&gt;0,G951/F951,"")</f>
        <v/>
      </c>
      <c r="K951" s="10">
        <f>IF(N(G951)&gt;0,E951/G951,"")</f>
        <v/>
      </c>
      <c r="L951" s="10">
        <f>IF(N(H951)&gt;0,E951/H951,"")</f>
        <v/>
      </c>
      <c r="M951" s="11">
        <f>IF(N(E951)&gt;0,I951/E951,"")</f>
        <v/>
      </c>
      <c r="N951" s="10">
        <f>IF(AND(E951="",I951=""),"",N(I951)*(1-COM-COM_SHOP)-N(E951)*(1+IMP_META))</f>
        <v/>
      </c>
      <c r="O951" s="37" t="n"/>
    </row>
    <row r="952">
      <c r="A952" s="36" t="n"/>
      <c r="B952" s="37" t="n"/>
      <c r="C952" s="37" t="n"/>
      <c r="D952" s="38">
        <f>IF(C952="","",IFERROR(INDEX(Anuncios!$B$6:$B$65,MATCH(C952,Anuncios!$A$6:$A$65,0)),"(no está en Anuncios)"))</f>
        <v/>
      </c>
      <c r="E952" s="39" t="n"/>
      <c r="F952" s="40" t="n"/>
      <c r="G952" s="40" t="n"/>
      <c r="H952" s="40" t="n"/>
      <c r="I952" s="39" t="n"/>
      <c r="J952" s="13">
        <f>IF(N(F952)&gt;0,G952/F952,"")</f>
        <v/>
      </c>
      <c r="K952" s="10">
        <f>IF(N(G952)&gt;0,E952/G952,"")</f>
        <v/>
      </c>
      <c r="L952" s="10">
        <f>IF(N(H952)&gt;0,E952/H952,"")</f>
        <v/>
      </c>
      <c r="M952" s="11">
        <f>IF(N(E952)&gt;0,I952/E952,"")</f>
        <v/>
      </c>
      <c r="N952" s="10">
        <f>IF(AND(E952="",I952=""),"",N(I952)*(1-COM-COM_SHOP)-N(E952)*(1+IMP_META))</f>
        <v/>
      </c>
      <c r="O952" s="37" t="n"/>
    </row>
    <row r="953">
      <c r="A953" s="36" t="n"/>
      <c r="B953" s="37" t="n"/>
      <c r="C953" s="37" t="n"/>
      <c r="D953" s="38">
        <f>IF(C953="","",IFERROR(INDEX(Anuncios!$B$6:$B$65,MATCH(C953,Anuncios!$A$6:$A$65,0)),"(no está en Anuncios)"))</f>
        <v/>
      </c>
      <c r="E953" s="39" t="n"/>
      <c r="F953" s="40" t="n"/>
      <c r="G953" s="40" t="n"/>
      <c r="H953" s="40" t="n"/>
      <c r="I953" s="39" t="n"/>
      <c r="J953" s="13">
        <f>IF(N(F953)&gt;0,G953/F953,"")</f>
        <v/>
      </c>
      <c r="K953" s="10">
        <f>IF(N(G953)&gt;0,E953/G953,"")</f>
        <v/>
      </c>
      <c r="L953" s="10">
        <f>IF(N(H953)&gt;0,E953/H953,"")</f>
        <v/>
      </c>
      <c r="M953" s="11">
        <f>IF(N(E953)&gt;0,I953/E953,"")</f>
        <v/>
      </c>
      <c r="N953" s="10">
        <f>IF(AND(E953="",I953=""),"",N(I953)*(1-COM-COM_SHOP)-N(E953)*(1+IMP_META))</f>
        <v/>
      </c>
      <c r="O953" s="37" t="n"/>
    </row>
    <row r="954">
      <c r="A954" s="36" t="n"/>
      <c r="B954" s="37" t="n"/>
      <c r="C954" s="37" t="n"/>
      <c r="D954" s="38">
        <f>IF(C954="","",IFERROR(INDEX(Anuncios!$B$6:$B$65,MATCH(C954,Anuncios!$A$6:$A$65,0)),"(no está en Anuncios)"))</f>
        <v/>
      </c>
      <c r="E954" s="39" t="n"/>
      <c r="F954" s="40" t="n"/>
      <c r="G954" s="40" t="n"/>
      <c r="H954" s="40" t="n"/>
      <c r="I954" s="39" t="n"/>
      <c r="J954" s="13">
        <f>IF(N(F954)&gt;0,G954/F954,"")</f>
        <v/>
      </c>
      <c r="K954" s="10">
        <f>IF(N(G954)&gt;0,E954/G954,"")</f>
        <v/>
      </c>
      <c r="L954" s="10">
        <f>IF(N(H954)&gt;0,E954/H954,"")</f>
        <v/>
      </c>
      <c r="M954" s="11">
        <f>IF(N(E954)&gt;0,I954/E954,"")</f>
        <v/>
      </c>
      <c r="N954" s="10">
        <f>IF(AND(E954="",I954=""),"",N(I954)*(1-COM-COM_SHOP)-N(E954)*(1+IMP_META))</f>
        <v/>
      </c>
      <c r="O954" s="37" t="n"/>
    </row>
    <row r="955">
      <c r="A955" s="36" t="n"/>
      <c r="B955" s="37" t="n"/>
      <c r="C955" s="37" t="n"/>
      <c r="D955" s="38">
        <f>IF(C955="","",IFERROR(INDEX(Anuncios!$B$6:$B$65,MATCH(C955,Anuncios!$A$6:$A$65,0)),"(no está en Anuncios)"))</f>
        <v/>
      </c>
      <c r="E955" s="39" t="n"/>
      <c r="F955" s="40" t="n"/>
      <c r="G955" s="40" t="n"/>
      <c r="H955" s="40" t="n"/>
      <c r="I955" s="39" t="n"/>
      <c r="J955" s="13">
        <f>IF(N(F955)&gt;0,G955/F955,"")</f>
        <v/>
      </c>
      <c r="K955" s="10">
        <f>IF(N(G955)&gt;0,E955/G955,"")</f>
        <v/>
      </c>
      <c r="L955" s="10">
        <f>IF(N(H955)&gt;0,E955/H955,"")</f>
        <v/>
      </c>
      <c r="M955" s="11">
        <f>IF(N(E955)&gt;0,I955/E955,"")</f>
        <v/>
      </c>
      <c r="N955" s="10">
        <f>IF(AND(E955="",I955=""),"",N(I955)*(1-COM-COM_SHOP)-N(E955)*(1+IMP_META))</f>
        <v/>
      </c>
      <c r="O955" s="37" t="n"/>
    </row>
    <row r="956">
      <c r="A956" s="36" t="n"/>
      <c r="B956" s="37" t="n"/>
      <c r="C956" s="37" t="n"/>
      <c r="D956" s="38">
        <f>IF(C956="","",IFERROR(INDEX(Anuncios!$B$6:$B$65,MATCH(C956,Anuncios!$A$6:$A$65,0)),"(no está en Anuncios)"))</f>
        <v/>
      </c>
      <c r="E956" s="39" t="n"/>
      <c r="F956" s="40" t="n"/>
      <c r="G956" s="40" t="n"/>
      <c r="H956" s="40" t="n"/>
      <c r="I956" s="39" t="n"/>
      <c r="J956" s="13">
        <f>IF(N(F956)&gt;0,G956/F956,"")</f>
        <v/>
      </c>
      <c r="K956" s="10">
        <f>IF(N(G956)&gt;0,E956/G956,"")</f>
        <v/>
      </c>
      <c r="L956" s="10">
        <f>IF(N(H956)&gt;0,E956/H956,"")</f>
        <v/>
      </c>
      <c r="M956" s="11">
        <f>IF(N(E956)&gt;0,I956/E956,"")</f>
        <v/>
      </c>
      <c r="N956" s="10">
        <f>IF(AND(E956="",I956=""),"",N(I956)*(1-COM-COM_SHOP)-N(E956)*(1+IMP_META))</f>
        <v/>
      </c>
      <c r="O956" s="37" t="n"/>
    </row>
    <row r="957">
      <c r="A957" s="36" t="n"/>
      <c r="B957" s="37" t="n"/>
      <c r="C957" s="37" t="n"/>
      <c r="D957" s="38">
        <f>IF(C957="","",IFERROR(INDEX(Anuncios!$B$6:$B$65,MATCH(C957,Anuncios!$A$6:$A$65,0)),"(no está en Anuncios)"))</f>
        <v/>
      </c>
      <c r="E957" s="39" t="n"/>
      <c r="F957" s="40" t="n"/>
      <c r="G957" s="40" t="n"/>
      <c r="H957" s="40" t="n"/>
      <c r="I957" s="39" t="n"/>
      <c r="J957" s="13">
        <f>IF(N(F957)&gt;0,G957/F957,"")</f>
        <v/>
      </c>
      <c r="K957" s="10">
        <f>IF(N(G957)&gt;0,E957/G957,"")</f>
        <v/>
      </c>
      <c r="L957" s="10">
        <f>IF(N(H957)&gt;0,E957/H957,"")</f>
        <v/>
      </c>
      <c r="M957" s="11">
        <f>IF(N(E957)&gt;0,I957/E957,"")</f>
        <v/>
      </c>
      <c r="N957" s="10">
        <f>IF(AND(E957="",I957=""),"",N(I957)*(1-COM-COM_SHOP)-N(E957)*(1+IMP_META))</f>
        <v/>
      </c>
      <c r="O957" s="37" t="n"/>
    </row>
    <row r="958">
      <c r="A958" s="36" t="n"/>
      <c r="B958" s="37" t="n"/>
      <c r="C958" s="37" t="n"/>
      <c r="D958" s="38">
        <f>IF(C958="","",IFERROR(INDEX(Anuncios!$B$6:$B$65,MATCH(C958,Anuncios!$A$6:$A$65,0)),"(no está en Anuncios)"))</f>
        <v/>
      </c>
      <c r="E958" s="39" t="n"/>
      <c r="F958" s="40" t="n"/>
      <c r="G958" s="40" t="n"/>
      <c r="H958" s="40" t="n"/>
      <c r="I958" s="39" t="n"/>
      <c r="J958" s="13">
        <f>IF(N(F958)&gt;0,G958/F958,"")</f>
        <v/>
      </c>
      <c r="K958" s="10">
        <f>IF(N(G958)&gt;0,E958/G958,"")</f>
        <v/>
      </c>
      <c r="L958" s="10">
        <f>IF(N(H958)&gt;0,E958/H958,"")</f>
        <v/>
      </c>
      <c r="M958" s="11">
        <f>IF(N(E958)&gt;0,I958/E958,"")</f>
        <v/>
      </c>
      <c r="N958" s="10">
        <f>IF(AND(E958="",I958=""),"",N(I958)*(1-COM-COM_SHOP)-N(E958)*(1+IMP_META))</f>
        <v/>
      </c>
      <c r="O958" s="37" t="n"/>
    </row>
    <row r="959">
      <c r="A959" s="36" t="n"/>
      <c r="B959" s="37" t="n"/>
      <c r="C959" s="37" t="n"/>
      <c r="D959" s="38">
        <f>IF(C959="","",IFERROR(INDEX(Anuncios!$B$6:$B$65,MATCH(C959,Anuncios!$A$6:$A$65,0)),"(no está en Anuncios)"))</f>
        <v/>
      </c>
      <c r="E959" s="39" t="n"/>
      <c r="F959" s="40" t="n"/>
      <c r="G959" s="40" t="n"/>
      <c r="H959" s="40" t="n"/>
      <c r="I959" s="39" t="n"/>
      <c r="J959" s="13">
        <f>IF(N(F959)&gt;0,G959/F959,"")</f>
        <v/>
      </c>
      <c r="K959" s="10">
        <f>IF(N(G959)&gt;0,E959/G959,"")</f>
        <v/>
      </c>
      <c r="L959" s="10">
        <f>IF(N(H959)&gt;0,E959/H959,"")</f>
        <v/>
      </c>
      <c r="M959" s="11">
        <f>IF(N(E959)&gt;0,I959/E959,"")</f>
        <v/>
      </c>
      <c r="N959" s="10">
        <f>IF(AND(E959="",I959=""),"",N(I959)*(1-COM-COM_SHOP)-N(E959)*(1+IMP_META))</f>
        <v/>
      </c>
      <c r="O959" s="37" t="n"/>
    </row>
    <row r="960">
      <c r="A960" s="36" t="n"/>
      <c r="B960" s="37" t="n"/>
      <c r="C960" s="37" t="n"/>
      <c r="D960" s="38">
        <f>IF(C960="","",IFERROR(INDEX(Anuncios!$B$6:$B$65,MATCH(C960,Anuncios!$A$6:$A$65,0)),"(no está en Anuncios)"))</f>
        <v/>
      </c>
      <c r="E960" s="39" t="n"/>
      <c r="F960" s="40" t="n"/>
      <c r="G960" s="40" t="n"/>
      <c r="H960" s="40" t="n"/>
      <c r="I960" s="39" t="n"/>
      <c r="J960" s="13">
        <f>IF(N(F960)&gt;0,G960/F960,"")</f>
        <v/>
      </c>
      <c r="K960" s="10">
        <f>IF(N(G960)&gt;0,E960/G960,"")</f>
        <v/>
      </c>
      <c r="L960" s="10">
        <f>IF(N(H960)&gt;0,E960/H960,"")</f>
        <v/>
      </c>
      <c r="M960" s="11">
        <f>IF(N(E960)&gt;0,I960/E960,"")</f>
        <v/>
      </c>
      <c r="N960" s="10">
        <f>IF(AND(E960="",I960=""),"",N(I960)*(1-COM-COM_SHOP)-N(E960)*(1+IMP_META))</f>
        <v/>
      </c>
      <c r="O960" s="37" t="n"/>
    </row>
    <row r="961">
      <c r="A961" s="36" t="n"/>
      <c r="B961" s="37" t="n"/>
      <c r="C961" s="37" t="n"/>
      <c r="D961" s="38">
        <f>IF(C961="","",IFERROR(INDEX(Anuncios!$B$6:$B$65,MATCH(C961,Anuncios!$A$6:$A$65,0)),"(no está en Anuncios)"))</f>
        <v/>
      </c>
      <c r="E961" s="39" t="n"/>
      <c r="F961" s="40" t="n"/>
      <c r="G961" s="40" t="n"/>
      <c r="H961" s="40" t="n"/>
      <c r="I961" s="39" t="n"/>
      <c r="J961" s="13">
        <f>IF(N(F961)&gt;0,G961/F961,"")</f>
        <v/>
      </c>
      <c r="K961" s="10">
        <f>IF(N(G961)&gt;0,E961/G961,"")</f>
        <v/>
      </c>
      <c r="L961" s="10">
        <f>IF(N(H961)&gt;0,E961/H961,"")</f>
        <v/>
      </c>
      <c r="M961" s="11">
        <f>IF(N(E961)&gt;0,I961/E961,"")</f>
        <v/>
      </c>
      <c r="N961" s="10">
        <f>IF(AND(E961="",I961=""),"",N(I961)*(1-COM-COM_SHOP)-N(E961)*(1+IMP_META))</f>
        <v/>
      </c>
      <c r="O961" s="37" t="n"/>
    </row>
    <row r="962">
      <c r="A962" s="36" t="n"/>
      <c r="B962" s="37" t="n"/>
      <c r="C962" s="37" t="n"/>
      <c r="D962" s="38">
        <f>IF(C962="","",IFERROR(INDEX(Anuncios!$B$6:$B$65,MATCH(C962,Anuncios!$A$6:$A$65,0)),"(no está en Anuncios)"))</f>
        <v/>
      </c>
      <c r="E962" s="39" t="n"/>
      <c r="F962" s="40" t="n"/>
      <c r="G962" s="40" t="n"/>
      <c r="H962" s="40" t="n"/>
      <c r="I962" s="39" t="n"/>
      <c r="J962" s="13">
        <f>IF(N(F962)&gt;0,G962/F962,"")</f>
        <v/>
      </c>
      <c r="K962" s="10">
        <f>IF(N(G962)&gt;0,E962/G962,"")</f>
        <v/>
      </c>
      <c r="L962" s="10">
        <f>IF(N(H962)&gt;0,E962/H962,"")</f>
        <v/>
      </c>
      <c r="M962" s="11">
        <f>IF(N(E962)&gt;0,I962/E962,"")</f>
        <v/>
      </c>
      <c r="N962" s="10">
        <f>IF(AND(E962="",I962=""),"",N(I962)*(1-COM-COM_SHOP)-N(E962)*(1+IMP_META))</f>
        <v/>
      </c>
      <c r="O962" s="37" t="n"/>
    </row>
    <row r="963">
      <c r="A963" s="36" t="n"/>
      <c r="B963" s="37" t="n"/>
      <c r="C963" s="37" t="n"/>
      <c r="D963" s="38">
        <f>IF(C963="","",IFERROR(INDEX(Anuncios!$B$6:$B$65,MATCH(C963,Anuncios!$A$6:$A$65,0)),"(no está en Anuncios)"))</f>
        <v/>
      </c>
      <c r="E963" s="39" t="n"/>
      <c r="F963" s="40" t="n"/>
      <c r="G963" s="40" t="n"/>
      <c r="H963" s="40" t="n"/>
      <c r="I963" s="39" t="n"/>
      <c r="J963" s="13">
        <f>IF(N(F963)&gt;0,G963/F963,"")</f>
        <v/>
      </c>
      <c r="K963" s="10">
        <f>IF(N(G963)&gt;0,E963/G963,"")</f>
        <v/>
      </c>
      <c r="L963" s="10">
        <f>IF(N(H963)&gt;0,E963/H963,"")</f>
        <v/>
      </c>
      <c r="M963" s="11">
        <f>IF(N(E963)&gt;0,I963/E963,"")</f>
        <v/>
      </c>
      <c r="N963" s="10">
        <f>IF(AND(E963="",I963=""),"",N(I963)*(1-COM-COM_SHOP)-N(E963)*(1+IMP_META))</f>
        <v/>
      </c>
      <c r="O963" s="37" t="n"/>
    </row>
    <row r="964">
      <c r="A964" s="36" t="n"/>
      <c r="B964" s="37" t="n"/>
      <c r="C964" s="37" t="n"/>
      <c r="D964" s="38">
        <f>IF(C964="","",IFERROR(INDEX(Anuncios!$B$6:$B$65,MATCH(C964,Anuncios!$A$6:$A$65,0)),"(no está en Anuncios)"))</f>
        <v/>
      </c>
      <c r="E964" s="39" t="n"/>
      <c r="F964" s="40" t="n"/>
      <c r="G964" s="40" t="n"/>
      <c r="H964" s="40" t="n"/>
      <c r="I964" s="39" t="n"/>
      <c r="J964" s="13">
        <f>IF(N(F964)&gt;0,G964/F964,"")</f>
        <v/>
      </c>
      <c r="K964" s="10">
        <f>IF(N(G964)&gt;0,E964/G964,"")</f>
        <v/>
      </c>
      <c r="L964" s="10">
        <f>IF(N(H964)&gt;0,E964/H964,"")</f>
        <v/>
      </c>
      <c r="M964" s="11">
        <f>IF(N(E964)&gt;0,I964/E964,"")</f>
        <v/>
      </c>
      <c r="N964" s="10">
        <f>IF(AND(E964="",I964=""),"",N(I964)*(1-COM-COM_SHOP)-N(E964)*(1+IMP_META))</f>
        <v/>
      </c>
      <c r="O964" s="37" t="n"/>
    </row>
    <row r="965">
      <c r="A965" s="36" t="n"/>
      <c r="B965" s="37" t="n"/>
      <c r="C965" s="37" t="n"/>
      <c r="D965" s="38">
        <f>IF(C965="","",IFERROR(INDEX(Anuncios!$B$6:$B$65,MATCH(C965,Anuncios!$A$6:$A$65,0)),"(no está en Anuncios)"))</f>
        <v/>
      </c>
      <c r="E965" s="39" t="n"/>
      <c r="F965" s="40" t="n"/>
      <c r="G965" s="40" t="n"/>
      <c r="H965" s="40" t="n"/>
      <c r="I965" s="39" t="n"/>
      <c r="J965" s="13">
        <f>IF(N(F965)&gt;0,G965/F965,"")</f>
        <v/>
      </c>
      <c r="K965" s="10">
        <f>IF(N(G965)&gt;0,E965/G965,"")</f>
        <v/>
      </c>
      <c r="L965" s="10">
        <f>IF(N(H965)&gt;0,E965/H965,"")</f>
        <v/>
      </c>
      <c r="M965" s="11">
        <f>IF(N(E965)&gt;0,I965/E965,"")</f>
        <v/>
      </c>
      <c r="N965" s="10">
        <f>IF(AND(E965="",I965=""),"",N(I965)*(1-COM-COM_SHOP)-N(E965)*(1+IMP_META))</f>
        <v/>
      </c>
      <c r="O965" s="37" t="n"/>
    </row>
    <row r="966">
      <c r="A966" s="36" t="n"/>
      <c r="B966" s="37" t="n"/>
      <c r="C966" s="37" t="n"/>
      <c r="D966" s="38">
        <f>IF(C966="","",IFERROR(INDEX(Anuncios!$B$6:$B$65,MATCH(C966,Anuncios!$A$6:$A$65,0)),"(no está en Anuncios)"))</f>
        <v/>
      </c>
      <c r="E966" s="39" t="n"/>
      <c r="F966" s="40" t="n"/>
      <c r="G966" s="40" t="n"/>
      <c r="H966" s="40" t="n"/>
      <c r="I966" s="39" t="n"/>
      <c r="J966" s="13">
        <f>IF(N(F966)&gt;0,G966/F966,"")</f>
        <v/>
      </c>
      <c r="K966" s="10">
        <f>IF(N(G966)&gt;0,E966/G966,"")</f>
        <v/>
      </c>
      <c r="L966" s="10">
        <f>IF(N(H966)&gt;0,E966/H966,"")</f>
        <v/>
      </c>
      <c r="M966" s="11">
        <f>IF(N(E966)&gt;0,I966/E966,"")</f>
        <v/>
      </c>
      <c r="N966" s="10">
        <f>IF(AND(E966="",I966=""),"",N(I966)*(1-COM-COM_SHOP)-N(E966)*(1+IMP_META))</f>
        <v/>
      </c>
      <c r="O966" s="37" t="n"/>
    </row>
    <row r="967">
      <c r="A967" s="36" t="n"/>
      <c r="B967" s="37" t="n"/>
      <c r="C967" s="37" t="n"/>
      <c r="D967" s="38">
        <f>IF(C967="","",IFERROR(INDEX(Anuncios!$B$6:$B$65,MATCH(C967,Anuncios!$A$6:$A$65,0)),"(no está en Anuncios)"))</f>
        <v/>
      </c>
      <c r="E967" s="39" t="n"/>
      <c r="F967" s="40" t="n"/>
      <c r="G967" s="40" t="n"/>
      <c r="H967" s="40" t="n"/>
      <c r="I967" s="39" t="n"/>
      <c r="J967" s="13">
        <f>IF(N(F967)&gt;0,G967/F967,"")</f>
        <v/>
      </c>
      <c r="K967" s="10">
        <f>IF(N(G967)&gt;0,E967/G967,"")</f>
        <v/>
      </c>
      <c r="L967" s="10">
        <f>IF(N(H967)&gt;0,E967/H967,"")</f>
        <v/>
      </c>
      <c r="M967" s="11">
        <f>IF(N(E967)&gt;0,I967/E967,"")</f>
        <v/>
      </c>
      <c r="N967" s="10">
        <f>IF(AND(E967="",I967=""),"",N(I967)*(1-COM-COM_SHOP)-N(E967)*(1+IMP_META))</f>
        <v/>
      </c>
      <c r="O967" s="37" t="n"/>
    </row>
    <row r="968">
      <c r="A968" s="36" t="n"/>
      <c r="B968" s="37" t="n"/>
      <c r="C968" s="37" t="n"/>
      <c r="D968" s="38">
        <f>IF(C968="","",IFERROR(INDEX(Anuncios!$B$6:$B$65,MATCH(C968,Anuncios!$A$6:$A$65,0)),"(no está en Anuncios)"))</f>
        <v/>
      </c>
      <c r="E968" s="39" t="n"/>
      <c r="F968" s="40" t="n"/>
      <c r="G968" s="40" t="n"/>
      <c r="H968" s="40" t="n"/>
      <c r="I968" s="39" t="n"/>
      <c r="J968" s="13">
        <f>IF(N(F968)&gt;0,G968/F968,"")</f>
        <v/>
      </c>
      <c r="K968" s="10">
        <f>IF(N(G968)&gt;0,E968/G968,"")</f>
        <v/>
      </c>
      <c r="L968" s="10">
        <f>IF(N(H968)&gt;0,E968/H968,"")</f>
        <v/>
      </c>
      <c r="M968" s="11">
        <f>IF(N(E968)&gt;0,I968/E968,"")</f>
        <v/>
      </c>
      <c r="N968" s="10">
        <f>IF(AND(E968="",I968=""),"",N(I968)*(1-COM-COM_SHOP)-N(E968)*(1+IMP_META))</f>
        <v/>
      </c>
      <c r="O968" s="37" t="n"/>
    </row>
    <row r="969">
      <c r="A969" s="36" t="n"/>
      <c r="B969" s="37" t="n"/>
      <c r="C969" s="37" t="n"/>
      <c r="D969" s="38">
        <f>IF(C969="","",IFERROR(INDEX(Anuncios!$B$6:$B$65,MATCH(C969,Anuncios!$A$6:$A$65,0)),"(no está en Anuncios)"))</f>
        <v/>
      </c>
      <c r="E969" s="39" t="n"/>
      <c r="F969" s="40" t="n"/>
      <c r="G969" s="40" t="n"/>
      <c r="H969" s="40" t="n"/>
      <c r="I969" s="39" t="n"/>
      <c r="J969" s="13">
        <f>IF(N(F969)&gt;0,G969/F969,"")</f>
        <v/>
      </c>
      <c r="K969" s="10">
        <f>IF(N(G969)&gt;0,E969/G969,"")</f>
        <v/>
      </c>
      <c r="L969" s="10">
        <f>IF(N(H969)&gt;0,E969/H969,"")</f>
        <v/>
      </c>
      <c r="M969" s="11">
        <f>IF(N(E969)&gt;0,I969/E969,"")</f>
        <v/>
      </c>
      <c r="N969" s="10">
        <f>IF(AND(E969="",I969=""),"",N(I969)*(1-COM-COM_SHOP)-N(E969)*(1+IMP_META))</f>
        <v/>
      </c>
      <c r="O969" s="37" t="n"/>
    </row>
    <row r="970">
      <c r="A970" s="36" t="n"/>
      <c r="B970" s="37" t="n"/>
      <c r="C970" s="37" t="n"/>
      <c r="D970" s="38">
        <f>IF(C970="","",IFERROR(INDEX(Anuncios!$B$6:$B$65,MATCH(C970,Anuncios!$A$6:$A$65,0)),"(no está en Anuncios)"))</f>
        <v/>
      </c>
      <c r="E970" s="39" t="n"/>
      <c r="F970" s="40" t="n"/>
      <c r="G970" s="40" t="n"/>
      <c r="H970" s="40" t="n"/>
      <c r="I970" s="39" t="n"/>
      <c r="J970" s="13">
        <f>IF(N(F970)&gt;0,G970/F970,"")</f>
        <v/>
      </c>
      <c r="K970" s="10">
        <f>IF(N(G970)&gt;0,E970/G970,"")</f>
        <v/>
      </c>
      <c r="L970" s="10">
        <f>IF(N(H970)&gt;0,E970/H970,"")</f>
        <v/>
      </c>
      <c r="M970" s="11">
        <f>IF(N(E970)&gt;0,I970/E970,"")</f>
        <v/>
      </c>
      <c r="N970" s="10">
        <f>IF(AND(E970="",I970=""),"",N(I970)*(1-COM-COM_SHOP)-N(E970)*(1+IMP_META))</f>
        <v/>
      </c>
      <c r="O970" s="37" t="n"/>
    </row>
    <row r="971">
      <c r="A971" s="36" t="n"/>
      <c r="B971" s="37" t="n"/>
      <c r="C971" s="37" t="n"/>
      <c r="D971" s="38">
        <f>IF(C971="","",IFERROR(INDEX(Anuncios!$B$6:$B$65,MATCH(C971,Anuncios!$A$6:$A$65,0)),"(no está en Anuncios)"))</f>
        <v/>
      </c>
      <c r="E971" s="39" t="n"/>
      <c r="F971" s="40" t="n"/>
      <c r="G971" s="40" t="n"/>
      <c r="H971" s="40" t="n"/>
      <c r="I971" s="39" t="n"/>
      <c r="J971" s="13">
        <f>IF(N(F971)&gt;0,G971/F971,"")</f>
        <v/>
      </c>
      <c r="K971" s="10">
        <f>IF(N(G971)&gt;0,E971/G971,"")</f>
        <v/>
      </c>
      <c r="L971" s="10">
        <f>IF(N(H971)&gt;0,E971/H971,"")</f>
        <v/>
      </c>
      <c r="M971" s="11">
        <f>IF(N(E971)&gt;0,I971/E971,"")</f>
        <v/>
      </c>
      <c r="N971" s="10">
        <f>IF(AND(E971="",I971=""),"",N(I971)*(1-COM-COM_SHOP)-N(E971)*(1+IMP_META))</f>
        <v/>
      </c>
      <c r="O971" s="37" t="n"/>
    </row>
    <row r="972">
      <c r="A972" s="36" t="n"/>
      <c r="B972" s="37" t="n"/>
      <c r="C972" s="37" t="n"/>
      <c r="D972" s="38">
        <f>IF(C972="","",IFERROR(INDEX(Anuncios!$B$6:$B$65,MATCH(C972,Anuncios!$A$6:$A$65,0)),"(no está en Anuncios)"))</f>
        <v/>
      </c>
      <c r="E972" s="39" t="n"/>
      <c r="F972" s="40" t="n"/>
      <c r="G972" s="40" t="n"/>
      <c r="H972" s="40" t="n"/>
      <c r="I972" s="39" t="n"/>
      <c r="J972" s="13">
        <f>IF(N(F972)&gt;0,G972/F972,"")</f>
        <v/>
      </c>
      <c r="K972" s="10">
        <f>IF(N(G972)&gt;0,E972/G972,"")</f>
        <v/>
      </c>
      <c r="L972" s="10">
        <f>IF(N(H972)&gt;0,E972/H972,"")</f>
        <v/>
      </c>
      <c r="M972" s="11">
        <f>IF(N(E972)&gt;0,I972/E972,"")</f>
        <v/>
      </c>
      <c r="N972" s="10">
        <f>IF(AND(E972="",I972=""),"",N(I972)*(1-COM-COM_SHOP)-N(E972)*(1+IMP_META))</f>
        <v/>
      </c>
      <c r="O972" s="37" t="n"/>
    </row>
    <row r="973">
      <c r="A973" s="36" t="n"/>
      <c r="B973" s="37" t="n"/>
      <c r="C973" s="37" t="n"/>
      <c r="D973" s="38">
        <f>IF(C973="","",IFERROR(INDEX(Anuncios!$B$6:$B$65,MATCH(C973,Anuncios!$A$6:$A$65,0)),"(no está en Anuncios)"))</f>
        <v/>
      </c>
      <c r="E973" s="39" t="n"/>
      <c r="F973" s="40" t="n"/>
      <c r="G973" s="40" t="n"/>
      <c r="H973" s="40" t="n"/>
      <c r="I973" s="39" t="n"/>
      <c r="J973" s="13">
        <f>IF(N(F973)&gt;0,G973/F973,"")</f>
        <v/>
      </c>
      <c r="K973" s="10">
        <f>IF(N(G973)&gt;0,E973/G973,"")</f>
        <v/>
      </c>
      <c r="L973" s="10">
        <f>IF(N(H973)&gt;0,E973/H973,"")</f>
        <v/>
      </c>
      <c r="M973" s="11">
        <f>IF(N(E973)&gt;0,I973/E973,"")</f>
        <v/>
      </c>
      <c r="N973" s="10">
        <f>IF(AND(E973="",I973=""),"",N(I973)*(1-COM-COM_SHOP)-N(E973)*(1+IMP_META))</f>
        <v/>
      </c>
      <c r="O973" s="37" t="n"/>
    </row>
    <row r="974">
      <c r="A974" s="36" t="n"/>
      <c r="B974" s="37" t="n"/>
      <c r="C974" s="37" t="n"/>
      <c r="D974" s="38">
        <f>IF(C974="","",IFERROR(INDEX(Anuncios!$B$6:$B$65,MATCH(C974,Anuncios!$A$6:$A$65,0)),"(no está en Anuncios)"))</f>
        <v/>
      </c>
      <c r="E974" s="39" t="n"/>
      <c r="F974" s="40" t="n"/>
      <c r="G974" s="40" t="n"/>
      <c r="H974" s="40" t="n"/>
      <c r="I974" s="39" t="n"/>
      <c r="J974" s="13">
        <f>IF(N(F974)&gt;0,G974/F974,"")</f>
        <v/>
      </c>
      <c r="K974" s="10">
        <f>IF(N(G974)&gt;0,E974/G974,"")</f>
        <v/>
      </c>
      <c r="L974" s="10">
        <f>IF(N(H974)&gt;0,E974/H974,"")</f>
        <v/>
      </c>
      <c r="M974" s="11">
        <f>IF(N(E974)&gt;0,I974/E974,"")</f>
        <v/>
      </c>
      <c r="N974" s="10">
        <f>IF(AND(E974="",I974=""),"",N(I974)*(1-COM-COM_SHOP)-N(E974)*(1+IMP_META))</f>
        <v/>
      </c>
      <c r="O974" s="37" t="n"/>
    </row>
    <row r="975">
      <c r="A975" s="36" t="n"/>
      <c r="B975" s="37" t="n"/>
      <c r="C975" s="37" t="n"/>
      <c r="D975" s="38">
        <f>IF(C975="","",IFERROR(INDEX(Anuncios!$B$6:$B$65,MATCH(C975,Anuncios!$A$6:$A$65,0)),"(no está en Anuncios)"))</f>
        <v/>
      </c>
      <c r="E975" s="39" t="n"/>
      <c r="F975" s="40" t="n"/>
      <c r="G975" s="40" t="n"/>
      <c r="H975" s="40" t="n"/>
      <c r="I975" s="39" t="n"/>
      <c r="J975" s="13">
        <f>IF(N(F975)&gt;0,G975/F975,"")</f>
        <v/>
      </c>
      <c r="K975" s="10">
        <f>IF(N(G975)&gt;0,E975/G975,"")</f>
        <v/>
      </c>
      <c r="L975" s="10">
        <f>IF(N(H975)&gt;0,E975/H975,"")</f>
        <v/>
      </c>
      <c r="M975" s="11">
        <f>IF(N(E975)&gt;0,I975/E975,"")</f>
        <v/>
      </c>
      <c r="N975" s="10">
        <f>IF(AND(E975="",I975=""),"",N(I975)*(1-COM-COM_SHOP)-N(E975)*(1+IMP_META))</f>
        <v/>
      </c>
      <c r="O975" s="37" t="n"/>
    </row>
    <row r="976">
      <c r="A976" s="36" t="n"/>
      <c r="B976" s="37" t="n"/>
      <c r="C976" s="37" t="n"/>
      <c r="D976" s="38">
        <f>IF(C976="","",IFERROR(INDEX(Anuncios!$B$6:$B$65,MATCH(C976,Anuncios!$A$6:$A$65,0)),"(no está en Anuncios)"))</f>
        <v/>
      </c>
      <c r="E976" s="39" t="n"/>
      <c r="F976" s="40" t="n"/>
      <c r="G976" s="40" t="n"/>
      <c r="H976" s="40" t="n"/>
      <c r="I976" s="39" t="n"/>
      <c r="J976" s="13">
        <f>IF(N(F976)&gt;0,G976/F976,"")</f>
        <v/>
      </c>
      <c r="K976" s="10">
        <f>IF(N(G976)&gt;0,E976/G976,"")</f>
        <v/>
      </c>
      <c r="L976" s="10">
        <f>IF(N(H976)&gt;0,E976/H976,"")</f>
        <v/>
      </c>
      <c r="M976" s="11">
        <f>IF(N(E976)&gt;0,I976/E976,"")</f>
        <v/>
      </c>
      <c r="N976" s="10">
        <f>IF(AND(E976="",I976=""),"",N(I976)*(1-COM-COM_SHOP)-N(E976)*(1+IMP_META))</f>
        <v/>
      </c>
      <c r="O976" s="37" t="n"/>
    </row>
    <row r="977">
      <c r="A977" s="36" t="n"/>
      <c r="B977" s="37" t="n"/>
      <c r="C977" s="37" t="n"/>
      <c r="D977" s="38">
        <f>IF(C977="","",IFERROR(INDEX(Anuncios!$B$6:$B$65,MATCH(C977,Anuncios!$A$6:$A$65,0)),"(no está en Anuncios)"))</f>
        <v/>
      </c>
      <c r="E977" s="39" t="n"/>
      <c r="F977" s="40" t="n"/>
      <c r="G977" s="40" t="n"/>
      <c r="H977" s="40" t="n"/>
      <c r="I977" s="39" t="n"/>
      <c r="J977" s="13">
        <f>IF(N(F977)&gt;0,G977/F977,"")</f>
        <v/>
      </c>
      <c r="K977" s="10">
        <f>IF(N(G977)&gt;0,E977/G977,"")</f>
        <v/>
      </c>
      <c r="L977" s="10">
        <f>IF(N(H977)&gt;0,E977/H977,"")</f>
        <v/>
      </c>
      <c r="M977" s="11">
        <f>IF(N(E977)&gt;0,I977/E977,"")</f>
        <v/>
      </c>
      <c r="N977" s="10">
        <f>IF(AND(E977="",I977=""),"",N(I977)*(1-COM-COM_SHOP)-N(E977)*(1+IMP_META))</f>
        <v/>
      </c>
      <c r="O977" s="37" t="n"/>
    </row>
    <row r="978">
      <c r="A978" s="36" t="n"/>
      <c r="B978" s="37" t="n"/>
      <c r="C978" s="37" t="n"/>
      <c r="D978" s="38">
        <f>IF(C978="","",IFERROR(INDEX(Anuncios!$B$6:$B$65,MATCH(C978,Anuncios!$A$6:$A$65,0)),"(no está en Anuncios)"))</f>
        <v/>
      </c>
      <c r="E978" s="39" t="n"/>
      <c r="F978" s="40" t="n"/>
      <c r="G978" s="40" t="n"/>
      <c r="H978" s="40" t="n"/>
      <c r="I978" s="39" t="n"/>
      <c r="J978" s="13">
        <f>IF(N(F978)&gt;0,G978/F978,"")</f>
        <v/>
      </c>
      <c r="K978" s="10">
        <f>IF(N(G978)&gt;0,E978/G978,"")</f>
        <v/>
      </c>
      <c r="L978" s="10">
        <f>IF(N(H978)&gt;0,E978/H978,"")</f>
        <v/>
      </c>
      <c r="M978" s="11">
        <f>IF(N(E978)&gt;0,I978/E978,"")</f>
        <v/>
      </c>
      <c r="N978" s="10">
        <f>IF(AND(E978="",I978=""),"",N(I978)*(1-COM-COM_SHOP)-N(E978)*(1+IMP_META))</f>
        <v/>
      </c>
      <c r="O978" s="37" t="n"/>
    </row>
    <row r="979">
      <c r="A979" s="36" t="n"/>
      <c r="B979" s="37" t="n"/>
      <c r="C979" s="37" t="n"/>
      <c r="D979" s="38">
        <f>IF(C979="","",IFERROR(INDEX(Anuncios!$B$6:$B$65,MATCH(C979,Anuncios!$A$6:$A$65,0)),"(no está en Anuncios)"))</f>
        <v/>
      </c>
      <c r="E979" s="39" t="n"/>
      <c r="F979" s="40" t="n"/>
      <c r="G979" s="40" t="n"/>
      <c r="H979" s="40" t="n"/>
      <c r="I979" s="39" t="n"/>
      <c r="J979" s="13">
        <f>IF(N(F979)&gt;0,G979/F979,"")</f>
        <v/>
      </c>
      <c r="K979" s="10">
        <f>IF(N(G979)&gt;0,E979/G979,"")</f>
        <v/>
      </c>
      <c r="L979" s="10">
        <f>IF(N(H979)&gt;0,E979/H979,"")</f>
        <v/>
      </c>
      <c r="M979" s="11">
        <f>IF(N(E979)&gt;0,I979/E979,"")</f>
        <v/>
      </c>
      <c r="N979" s="10">
        <f>IF(AND(E979="",I979=""),"",N(I979)*(1-COM-COM_SHOP)-N(E979)*(1+IMP_META))</f>
        <v/>
      </c>
      <c r="O979" s="37" t="n"/>
    </row>
    <row r="980">
      <c r="A980" s="36" t="n"/>
      <c r="B980" s="37" t="n"/>
      <c r="C980" s="37" t="n"/>
      <c r="D980" s="38">
        <f>IF(C980="","",IFERROR(INDEX(Anuncios!$B$6:$B$65,MATCH(C980,Anuncios!$A$6:$A$65,0)),"(no está en Anuncios)"))</f>
        <v/>
      </c>
      <c r="E980" s="39" t="n"/>
      <c r="F980" s="40" t="n"/>
      <c r="G980" s="40" t="n"/>
      <c r="H980" s="40" t="n"/>
      <c r="I980" s="39" t="n"/>
      <c r="J980" s="13">
        <f>IF(N(F980)&gt;0,G980/F980,"")</f>
        <v/>
      </c>
      <c r="K980" s="10">
        <f>IF(N(G980)&gt;0,E980/G980,"")</f>
        <v/>
      </c>
      <c r="L980" s="10">
        <f>IF(N(H980)&gt;0,E980/H980,"")</f>
        <v/>
      </c>
      <c r="M980" s="11">
        <f>IF(N(E980)&gt;0,I980/E980,"")</f>
        <v/>
      </c>
      <c r="N980" s="10">
        <f>IF(AND(E980="",I980=""),"",N(I980)*(1-COM-COM_SHOP)-N(E980)*(1+IMP_META))</f>
        <v/>
      </c>
      <c r="O980" s="37" t="n"/>
    </row>
    <row r="981">
      <c r="A981" s="36" t="n"/>
      <c r="B981" s="37" t="n"/>
      <c r="C981" s="37" t="n"/>
      <c r="D981" s="38">
        <f>IF(C981="","",IFERROR(INDEX(Anuncios!$B$6:$B$65,MATCH(C981,Anuncios!$A$6:$A$65,0)),"(no está en Anuncios)"))</f>
        <v/>
      </c>
      <c r="E981" s="39" t="n"/>
      <c r="F981" s="40" t="n"/>
      <c r="G981" s="40" t="n"/>
      <c r="H981" s="40" t="n"/>
      <c r="I981" s="39" t="n"/>
      <c r="J981" s="13">
        <f>IF(N(F981)&gt;0,G981/F981,"")</f>
        <v/>
      </c>
      <c r="K981" s="10">
        <f>IF(N(G981)&gt;0,E981/G981,"")</f>
        <v/>
      </c>
      <c r="L981" s="10">
        <f>IF(N(H981)&gt;0,E981/H981,"")</f>
        <v/>
      </c>
      <c r="M981" s="11">
        <f>IF(N(E981)&gt;0,I981/E981,"")</f>
        <v/>
      </c>
      <c r="N981" s="10">
        <f>IF(AND(E981="",I981=""),"",N(I981)*(1-COM-COM_SHOP)-N(E981)*(1+IMP_META))</f>
        <v/>
      </c>
      <c r="O981" s="37" t="n"/>
    </row>
    <row r="982">
      <c r="A982" s="36" t="n"/>
      <c r="B982" s="37" t="n"/>
      <c r="C982" s="37" t="n"/>
      <c r="D982" s="38">
        <f>IF(C982="","",IFERROR(INDEX(Anuncios!$B$6:$B$65,MATCH(C982,Anuncios!$A$6:$A$65,0)),"(no está en Anuncios)"))</f>
        <v/>
      </c>
      <c r="E982" s="39" t="n"/>
      <c r="F982" s="40" t="n"/>
      <c r="G982" s="40" t="n"/>
      <c r="H982" s="40" t="n"/>
      <c r="I982" s="39" t="n"/>
      <c r="J982" s="13">
        <f>IF(N(F982)&gt;0,G982/F982,"")</f>
        <v/>
      </c>
      <c r="K982" s="10">
        <f>IF(N(G982)&gt;0,E982/G982,"")</f>
        <v/>
      </c>
      <c r="L982" s="10">
        <f>IF(N(H982)&gt;0,E982/H982,"")</f>
        <v/>
      </c>
      <c r="M982" s="11">
        <f>IF(N(E982)&gt;0,I982/E982,"")</f>
        <v/>
      </c>
      <c r="N982" s="10">
        <f>IF(AND(E982="",I982=""),"",N(I982)*(1-COM-COM_SHOP)-N(E982)*(1+IMP_META))</f>
        <v/>
      </c>
      <c r="O982" s="37" t="n"/>
    </row>
    <row r="983">
      <c r="A983" s="36" t="n"/>
      <c r="B983" s="37" t="n"/>
      <c r="C983" s="37" t="n"/>
      <c r="D983" s="38">
        <f>IF(C983="","",IFERROR(INDEX(Anuncios!$B$6:$B$65,MATCH(C983,Anuncios!$A$6:$A$65,0)),"(no está en Anuncios)"))</f>
        <v/>
      </c>
      <c r="E983" s="39" t="n"/>
      <c r="F983" s="40" t="n"/>
      <c r="G983" s="40" t="n"/>
      <c r="H983" s="40" t="n"/>
      <c r="I983" s="39" t="n"/>
      <c r="J983" s="13">
        <f>IF(N(F983)&gt;0,G983/F983,"")</f>
        <v/>
      </c>
      <c r="K983" s="10">
        <f>IF(N(G983)&gt;0,E983/G983,"")</f>
        <v/>
      </c>
      <c r="L983" s="10">
        <f>IF(N(H983)&gt;0,E983/H983,"")</f>
        <v/>
      </c>
      <c r="M983" s="11">
        <f>IF(N(E983)&gt;0,I983/E983,"")</f>
        <v/>
      </c>
      <c r="N983" s="10">
        <f>IF(AND(E983="",I983=""),"",N(I983)*(1-COM-COM_SHOP)-N(E983)*(1+IMP_META))</f>
        <v/>
      </c>
      <c r="O983" s="37" t="n"/>
    </row>
    <row r="984">
      <c r="A984" s="36" t="n"/>
      <c r="B984" s="37" t="n"/>
      <c r="C984" s="37" t="n"/>
      <c r="D984" s="38">
        <f>IF(C984="","",IFERROR(INDEX(Anuncios!$B$6:$B$65,MATCH(C984,Anuncios!$A$6:$A$65,0)),"(no está en Anuncios)"))</f>
        <v/>
      </c>
      <c r="E984" s="39" t="n"/>
      <c r="F984" s="40" t="n"/>
      <c r="G984" s="40" t="n"/>
      <c r="H984" s="40" t="n"/>
      <c r="I984" s="39" t="n"/>
      <c r="J984" s="13">
        <f>IF(N(F984)&gt;0,G984/F984,"")</f>
        <v/>
      </c>
      <c r="K984" s="10">
        <f>IF(N(G984)&gt;0,E984/G984,"")</f>
        <v/>
      </c>
      <c r="L984" s="10">
        <f>IF(N(H984)&gt;0,E984/H984,"")</f>
        <v/>
      </c>
      <c r="M984" s="11">
        <f>IF(N(E984)&gt;0,I984/E984,"")</f>
        <v/>
      </c>
      <c r="N984" s="10">
        <f>IF(AND(E984="",I984=""),"",N(I984)*(1-COM-COM_SHOP)-N(E984)*(1+IMP_META))</f>
        <v/>
      </c>
      <c r="O984" s="37" t="n"/>
    </row>
    <row r="985">
      <c r="A985" s="36" t="n"/>
      <c r="B985" s="37" t="n"/>
      <c r="C985" s="37" t="n"/>
      <c r="D985" s="38">
        <f>IF(C985="","",IFERROR(INDEX(Anuncios!$B$6:$B$65,MATCH(C985,Anuncios!$A$6:$A$65,0)),"(no está en Anuncios)"))</f>
        <v/>
      </c>
      <c r="E985" s="39" t="n"/>
      <c r="F985" s="40" t="n"/>
      <c r="G985" s="40" t="n"/>
      <c r="H985" s="40" t="n"/>
      <c r="I985" s="39" t="n"/>
      <c r="J985" s="13">
        <f>IF(N(F985)&gt;0,G985/F985,"")</f>
        <v/>
      </c>
      <c r="K985" s="10">
        <f>IF(N(G985)&gt;0,E985/G985,"")</f>
        <v/>
      </c>
      <c r="L985" s="10">
        <f>IF(N(H985)&gt;0,E985/H985,"")</f>
        <v/>
      </c>
      <c r="M985" s="11">
        <f>IF(N(E985)&gt;0,I985/E985,"")</f>
        <v/>
      </c>
      <c r="N985" s="10">
        <f>IF(AND(E985="",I985=""),"",N(I985)*(1-COM-COM_SHOP)-N(E985)*(1+IMP_META))</f>
        <v/>
      </c>
      <c r="O985" s="37" t="n"/>
    </row>
    <row r="986">
      <c r="A986" s="36" t="n"/>
      <c r="B986" s="37" t="n"/>
      <c r="C986" s="37" t="n"/>
      <c r="D986" s="38">
        <f>IF(C986="","",IFERROR(INDEX(Anuncios!$B$6:$B$65,MATCH(C986,Anuncios!$A$6:$A$65,0)),"(no está en Anuncios)"))</f>
        <v/>
      </c>
      <c r="E986" s="39" t="n"/>
      <c r="F986" s="40" t="n"/>
      <c r="G986" s="40" t="n"/>
      <c r="H986" s="40" t="n"/>
      <c r="I986" s="39" t="n"/>
      <c r="J986" s="13">
        <f>IF(N(F986)&gt;0,G986/F986,"")</f>
        <v/>
      </c>
      <c r="K986" s="10">
        <f>IF(N(G986)&gt;0,E986/G986,"")</f>
        <v/>
      </c>
      <c r="L986" s="10">
        <f>IF(N(H986)&gt;0,E986/H986,"")</f>
        <v/>
      </c>
      <c r="M986" s="11">
        <f>IF(N(E986)&gt;0,I986/E986,"")</f>
        <v/>
      </c>
      <c r="N986" s="10">
        <f>IF(AND(E986="",I986=""),"",N(I986)*(1-COM-COM_SHOP)-N(E986)*(1+IMP_META))</f>
        <v/>
      </c>
      <c r="O986" s="37" t="n"/>
    </row>
    <row r="987">
      <c r="A987" s="36" t="n"/>
      <c r="B987" s="37" t="n"/>
      <c r="C987" s="37" t="n"/>
      <c r="D987" s="38">
        <f>IF(C987="","",IFERROR(INDEX(Anuncios!$B$6:$B$65,MATCH(C987,Anuncios!$A$6:$A$65,0)),"(no está en Anuncios)"))</f>
        <v/>
      </c>
      <c r="E987" s="39" t="n"/>
      <c r="F987" s="40" t="n"/>
      <c r="G987" s="40" t="n"/>
      <c r="H987" s="40" t="n"/>
      <c r="I987" s="39" t="n"/>
      <c r="J987" s="13">
        <f>IF(N(F987)&gt;0,G987/F987,"")</f>
        <v/>
      </c>
      <c r="K987" s="10">
        <f>IF(N(G987)&gt;0,E987/G987,"")</f>
        <v/>
      </c>
      <c r="L987" s="10">
        <f>IF(N(H987)&gt;0,E987/H987,"")</f>
        <v/>
      </c>
      <c r="M987" s="11">
        <f>IF(N(E987)&gt;0,I987/E987,"")</f>
        <v/>
      </c>
      <c r="N987" s="10">
        <f>IF(AND(E987="",I987=""),"",N(I987)*(1-COM-COM_SHOP)-N(E987)*(1+IMP_META))</f>
        <v/>
      </c>
      <c r="O987" s="37" t="n"/>
    </row>
    <row r="988">
      <c r="A988" s="36" t="n"/>
      <c r="B988" s="37" t="n"/>
      <c r="C988" s="37" t="n"/>
      <c r="D988" s="38">
        <f>IF(C988="","",IFERROR(INDEX(Anuncios!$B$6:$B$65,MATCH(C988,Anuncios!$A$6:$A$65,0)),"(no está en Anuncios)"))</f>
        <v/>
      </c>
      <c r="E988" s="39" t="n"/>
      <c r="F988" s="40" t="n"/>
      <c r="G988" s="40" t="n"/>
      <c r="H988" s="40" t="n"/>
      <c r="I988" s="39" t="n"/>
      <c r="J988" s="13">
        <f>IF(N(F988)&gt;0,G988/F988,"")</f>
        <v/>
      </c>
      <c r="K988" s="10">
        <f>IF(N(G988)&gt;0,E988/G988,"")</f>
        <v/>
      </c>
      <c r="L988" s="10">
        <f>IF(N(H988)&gt;0,E988/H988,"")</f>
        <v/>
      </c>
      <c r="M988" s="11">
        <f>IF(N(E988)&gt;0,I988/E988,"")</f>
        <v/>
      </c>
      <c r="N988" s="10">
        <f>IF(AND(E988="",I988=""),"",N(I988)*(1-COM-COM_SHOP)-N(E988)*(1+IMP_META))</f>
        <v/>
      </c>
      <c r="O988" s="37" t="n"/>
    </row>
    <row r="989">
      <c r="A989" s="36" t="n"/>
      <c r="B989" s="37" t="n"/>
      <c r="C989" s="37" t="n"/>
      <c r="D989" s="38">
        <f>IF(C989="","",IFERROR(INDEX(Anuncios!$B$6:$B$65,MATCH(C989,Anuncios!$A$6:$A$65,0)),"(no está en Anuncios)"))</f>
        <v/>
      </c>
      <c r="E989" s="39" t="n"/>
      <c r="F989" s="40" t="n"/>
      <c r="G989" s="40" t="n"/>
      <c r="H989" s="40" t="n"/>
      <c r="I989" s="39" t="n"/>
      <c r="J989" s="13">
        <f>IF(N(F989)&gt;0,G989/F989,"")</f>
        <v/>
      </c>
      <c r="K989" s="10">
        <f>IF(N(G989)&gt;0,E989/G989,"")</f>
        <v/>
      </c>
      <c r="L989" s="10">
        <f>IF(N(H989)&gt;0,E989/H989,"")</f>
        <v/>
      </c>
      <c r="M989" s="11">
        <f>IF(N(E989)&gt;0,I989/E989,"")</f>
        <v/>
      </c>
      <c r="N989" s="10">
        <f>IF(AND(E989="",I989=""),"",N(I989)*(1-COM-COM_SHOP)-N(E989)*(1+IMP_META))</f>
        <v/>
      </c>
      <c r="O989" s="37" t="n"/>
    </row>
    <row r="990">
      <c r="A990" s="36" t="n"/>
      <c r="B990" s="37" t="n"/>
      <c r="C990" s="37" t="n"/>
      <c r="D990" s="38">
        <f>IF(C990="","",IFERROR(INDEX(Anuncios!$B$6:$B$65,MATCH(C990,Anuncios!$A$6:$A$65,0)),"(no está en Anuncios)"))</f>
        <v/>
      </c>
      <c r="E990" s="39" t="n"/>
      <c r="F990" s="40" t="n"/>
      <c r="G990" s="40" t="n"/>
      <c r="H990" s="40" t="n"/>
      <c r="I990" s="39" t="n"/>
      <c r="J990" s="13">
        <f>IF(N(F990)&gt;0,G990/F990,"")</f>
        <v/>
      </c>
      <c r="K990" s="10">
        <f>IF(N(G990)&gt;0,E990/G990,"")</f>
        <v/>
      </c>
      <c r="L990" s="10">
        <f>IF(N(H990)&gt;0,E990/H990,"")</f>
        <v/>
      </c>
      <c r="M990" s="11">
        <f>IF(N(E990)&gt;0,I990/E990,"")</f>
        <v/>
      </c>
      <c r="N990" s="10">
        <f>IF(AND(E990="",I990=""),"",N(I990)*(1-COM-COM_SHOP)-N(E990)*(1+IMP_META))</f>
        <v/>
      </c>
      <c r="O990" s="37" t="n"/>
    </row>
    <row r="991">
      <c r="A991" s="36" t="n"/>
      <c r="B991" s="37" t="n"/>
      <c r="C991" s="37" t="n"/>
      <c r="D991" s="38">
        <f>IF(C991="","",IFERROR(INDEX(Anuncios!$B$6:$B$65,MATCH(C991,Anuncios!$A$6:$A$65,0)),"(no está en Anuncios)"))</f>
        <v/>
      </c>
      <c r="E991" s="39" t="n"/>
      <c r="F991" s="40" t="n"/>
      <c r="G991" s="40" t="n"/>
      <c r="H991" s="40" t="n"/>
      <c r="I991" s="39" t="n"/>
      <c r="J991" s="13">
        <f>IF(N(F991)&gt;0,G991/F991,"")</f>
        <v/>
      </c>
      <c r="K991" s="10">
        <f>IF(N(G991)&gt;0,E991/G991,"")</f>
        <v/>
      </c>
      <c r="L991" s="10">
        <f>IF(N(H991)&gt;0,E991/H991,"")</f>
        <v/>
      </c>
      <c r="M991" s="11">
        <f>IF(N(E991)&gt;0,I991/E991,"")</f>
        <v/>
      </c>
      <c r="N991" s="10">
        <f>IF(AND(E991="",I991=""),"",N(I991)*(1-COM-COM_SHOP)-N(E991)*(1+IMP_META))</f>
        <v/>
      </c>
      <c r="O991" s="37" t="n"/>
    </row>
    <row r="992">
      <c r="A992" s="36" t="n"/>
      <c r="B992" s="37" t="n"/>
      <c r="C992" s="37" t="n"/>
      <c r="D992" s="38">
        <f>IF(C992="","",IFERROR(INDEX(Anuncios!$B$6:$B$65,MATCH(C992,Anuncios!$A$6:$A$65,0)),"(no está en Anuncios)"))</f>
        <v/>
      </c>
      <c r="E992" s="39" t="n"/>
      <c r="F992" s="40" t="n"/>
      <c r="G992" s="40" t="n"/>
      <c r="H992" s="40" t="n"/>
      <c r="I992" s="39" t="n"/>
      <c r="J992" s="13">
        <f>IF(N(F992)&gt;0,G992/F992,"")</f>
        <v/>
      </c>
      <c r="K992" s="10">
        <f>IF(N(G992)&gt;0,E992/G992,"")</f>
        <v/>
      </c>
      <c r="L992" s="10">
        <f>IF(N(H992)&gt;0,E992/H992,"")</f>
        <v/>
      </c>
      <c r="M992" s="11">
        <f>IF(N(E992)&gt;0,I992/E992,"")</f>
        <v/>
      </c>
      <c r="N992" s="10">
        <f>IF(AND(E992="",I992=""),"",N(I992)*(1-COM-COM_SHOP)-N(E992)*(1+IMP_META))</f>
        <v/>
      </c>
      <c r="O992" s="37" t="n"/>
    </row>
    <row r="993">
      <c r="A993" s="36" t="n"/>
      <c r="B993" s="37" t="n"/>
      <c r="C993" s="37" t="n"/>
      <c r="D993" s="38">
        <f>IF(C993="","",IFERROR(INDEX(Anuncios!$B$6:$B$65,MATCH(C993,Anuncios!$A$6:$A$65,0)),"(no está en Anuncios)"))</f>
        <v/>
      </c>
      <c r="E993" s="39" t="n"/>
      <c r="F993" s="40" t="n"/>
      <c r="G993" s="40" t="n"/>
      <c r="H993" s="40" t="n"/>
      <c r="I993" s="39" t="n"/>
      <c r="J993" s="13">
        <f>IF(N(F993)&gt;0,G993/F993,"")</f>
        <v/>
      </c>
      <c r="K993" s="10">
        <f>IF(N(G993)&gt;0,E993/G993,"")</f>
        <v/>
      </c>
      <c r="L993" s="10">
        <f>IF(N(H993)&gt;0,E993/H993,"")</f>
        <v/>
      </c>
      <c r="M993" s="11">
        <f>IF(N(E993)&gt;0,I993/E993,"")</f>
        <v/>
      </c>
      <c r="N993" s="10">
        <f>IF(AND(E993="",I993=""),"",N(I993)*(1-COM-COM_SHOP)-N(E993)*(1+IMP_META))</f>
        <v/>
      </c>
      <c r="O993" s="37" t="n"/>
    </row>
    <row r="994">
      <c r="A994" s="36" t="n"/>
      <c r="B994" s="37" t="n"/>
      <c r="C994" s="37" t="n"/>
      <c r="D994" s="38">
        <f>IF(C994="","",IFERROR(INDEX(Anuncios!$B$6:$B$65,MATCH(C994,Anuncios!$A$6:$A$65,0)),"(no está en Anuncios)"))</f>
        <v/>
      </c>
      <c r="E994" s="39" t="n"/>
      <c r="F994" s="40" t="n"/>
      <c r="G994" s="40" t="n"/>
      <c r="H994" s="40" t="n"/>
      <c r="I994" s="39" t="n"/>
      <c r="J994" s="13">
        <f>IF(N(F994)&gt;0,G994/F994,"")</f>
        <v/>
      </c>
      <c r="K994" s="10">
        <f>IF(N(G994)&gt;0,E994/G994,"")</f>
        <v/>
      </c>
      <c r="L994" s="10">
        <f>IF(N(H994)&gt;0,E994/H994,"")</f>
        <v/>
      </c>
      <c r="M994" s="11">
        <f>IF(N(E994)&gt;0,I994/E994,"")</f>
        <v/>
      </c>
      <c r="N994" s="10">
        <f>IF(AND(E994="",I994=""),"",N(I994)*(1-COM-COM_SHOP)-N(E994)*(1+IMP_META))</f>
        <v/>
      </c>
      <c r="O994" s="37" t="n"/>
    </row>
    <row r="995">
      <c r="A995" s="36" t="n"/>
      <c r="B995" s="37" t="n"/>
      <c r="C995" s="37" t="n"/>
      <c r="D995" s="38">
        <f>IF(C995="","",IFERROR(INDEX(Anuncios!$B$6:$B$65,MATCH(C995,Anuncios!$A$6:$A$65,0)),"(no está en Anuncios)"))</f>
        <v/>
      </c>
      <c r="E995" s="39" t="n"/>
      <c r="F995" s="40" t="n"/>
      <c r="G995" s="40" t="n"/>
      <c r="H995" s="40" t="n"/>
      <c r="I995" s="39" t="n"/>
      <c r="J995" s="13">
        <f>IF(N(F995)&gt;0,G995/F995,"")</f>
        <v/>
      </c>
      <c r="K995" s="10">
        <f>IF(N(G995)&gt;0,E995/G995,"")</f>
        <v/>
      </c>
      <c r="L995" s="10">
        <f>IF(N(H995)&gt;0,E995/H995,"")</f>
        <v/>
      </c>
      <c r="M995" s="11">
        <f>IF(N(E995)&gt;0,I995/E995,"")</f>
        <v/>
      </c>
      <c r="N995" s="10">
        <f>IF(AND(E995="",I995=""),"",N(I995)*(1-COM-COM_SHOP)-N(E995)*(1+IMP_META))</f>
        <v/>
      </c>
      <c r="O995" s="37" t="n"/>
    </row>
    <row r="996">
      <c r="A996" s="36" t="n"/>
      <c r="B996" s="37" t="n"/>
      <c r="C996" s="37" t="n"/>
      <c r="D996" s="38">
        <f>IF(C996="","",IFERROR(INDEX(Anuncios!$B$6:$B$65,MATCH(C996,Anuncios!$A$6:$A$65,0)),"(no está en Anuncios)"))</f>
        <v/>
      </c>
      <c r="E996" s="39" t="n"/>
      <c r="F996" s="40" t="n"/>
      <c r="G996" s="40" t="n"/>
      <c r="H996" s="40" t="n"/>
      <c r="I996" s="39" t="n"/>
      <c r="J996" s="13">
        <f>IF(N(F996)&gt;0,G996/F996,"")</f>
        <v/>
      </c>
      <c r="K996" s="10">
        <f>IF(N(G996)&gt;0,E996/G996,"")</f>
        <v/>
      </c>
      <c r="L996" s="10">
        <f>IF(N(H996)&gt;0,E996/H996,"")</f>
        <v/>
      </c>
      <c r="M996" s="11">
        <f>IF(N(E996)&gt;0,I996/E996,"")</f>
        <v/>
      </c>
      <c r="N996" s="10">
        <f>IF(AND(E996="",I996=""),"",N(I996)*(1-COM-COM_SHOP)-N(E996)*(1+IMP_META))</f>
        <v/>
      </c>
      <c r="O996" s="37" t="n"/>
    </row>
    <row r="997">
      <c r="A997" s="36" t="n"/>
      <c r="B997" s="37" t="n"/>
      <c r="C997" s="37" t="n"/>
      <c r="D997" s="38">
        <f>IF(C997="","",IFERROR(INDEX(Anuncios!$B$6:$B$65,MATCH(C997,Anuncios!$A$6:$A$65,0)),"(no está en Anuncios)"))</f>
        <v/>
      </c>
      <c r="E997" s="39" t="n"/>
      <c r="F997" s="40" t="n"/>
      <c r="G997" s="40" t="n"/>
      <c r="H997" s="40" t="n"/>
      <c r="I997" s="39" t="n"/>
      <c r="J997" s="13">
        <f>IF(N(F997)&gt;0,G997/F997,"")</f>
        <v/>
      </c>
      <c r="K997" s="10">
        <f>IF(N(G997)&gt;0,E997/G997,"")</f>
        <v/>
      </c>
      <c r="L997" s="10">
        <f>IF(N(H997)&gt;0,E997/H997,"")</f>
        <v/>
      </c>
      <c r="M997" s="11">
        <f>IF(N(E997)&gt;0,I997/E997,"")</f>
        <v/>
      </c>
      <c r="N997" s="10">
        <f>IF(AND(E997="",I997=""),"",N(I997)*(1-COM-COM_SHOP)-N(E997)*(1+IMP_META))</f>
        <v/>
      </c>
      <c r="O997" s="37" t="n"/>
    </row>
    <row r="998">
      <c r="A998" s="36" t="n"/>
      <c r="B998" s="37" t="n"/>
      <c r="C998" s="37" t="n"/>
      <c r="D998" s="38">
        <f>IF(C998="","",IFERROR(INDEX(Anuncios!$B$6:$B$65,MATCH(C998,Anuncios!$A$6:$A$65,0)),"(no está en Anuncios)"))</f>
        <v/>
      </c>
      <c r="E998" s="39" t="n"/>
      <c r="F998" s="40" t="n"/>
      <c r="G998" s="40" t="n"/>
      <c r="H998" s="40" t="n"/>
      <c r="I998" s="39" t="n"/>
      <c r="J998" s="13">
        <f>IF(N(F998)&gt;0,G998/F998,"")</f>
        <v/>
      </c>
      <c r="K998" s="10">
        <f>IF(N(G998)&gt;0,E998/G998,"")</f>
        <v/>
      </c>
      <c r="L998" s="10">
        <f>IF(N(H998)&gt;0,E998/H998,"")</f>
        <v/>
      </c>
      <c r="M998" s="11">
        <f>IF(N(E998)&gt;0,I998/E998,"")</f>
        <v/>
      </c>
      <c r="N998" s="10">
        <f>IF(AND(E998="",I998=""),"",N(I998)*(1-COM-COM_SHOP)-N(E998)*(1+IMP_META))</f>
        <v/>
      </c>
      <c r="O998" s="37" t="n"/>
    </row>
    <row r="999">
      <c r="A999" s="36" t="n"/>
      <c r="B999" s="37" t="n"/>
      <c r="C999" s="37" t="n"/>
      <c r="D999" s="38">
        <f>IF(C999="","",IFERROR(INDEX(Anuncios!$B$6:$B$65,MATCH(C999,Anuncios!$A$6:$A$65,0)),"(no está en Anuncios)"))</f>
        <v/>
      </c>
      <c r="E999" s="39" t="n"/>
      <c r="F999" s="40" t="n"/>
      <c r="G999" s="40" t="n"/>
      <c r="H999" s="40" t="n"/>
      <c r="I999" s="39" t="n"/>
      <c r="J999" s="13">
        <f>IF(N(F999)&gt;0,G999/F999,"")</f>
        <v/>
      </c>
      <c r="K999" s="10">
        <f>IF(N(G999)&gt;0,E999/G999,"")</f>
        <v/>
      </c>
      <c r="L999" s="10">
        <f>IF(N(H999)&gt;0,E999/H999,"")</f>
        <v/>
      </c>
      <c r="M999" s="11">
        <f>IF(N(E999)&gt;0,I999/E999,"")</f>
        <v/>
      </c>
      <c r="N999" s="10">
        <f>IF(AND(E999="",I999=""),"",N(I999)*(1-COM-COM_SHOP)-N(E999)*(1+IMP_META))</f>
        <v/>
      </c>
      <c r="O999" s="37" t="n"/>
    </row>
    <row r="1000">
      <c r="A1000" s="36" t="n"/>
      <c r="B1000" s="37" t="n"/>
      <c r="C1000" s="37" t="n"/>
      <c r="D1000" s="38">
        <f>IF(C1000="","",IFERROR(INDEX(Anuncios!$B$6:$B$65,MATCH(C1000,Anuncios!$A$6:$A$65,0)),"(no está en Anuncios)"))</f>
        <v/>
      </c>
      <c r="E1000" s="39" t="n"/>
      <c r="F1000" s="40" t="n"/>
      <c r="G1000" s="40" t="n"/>
      <c r="H1000" s="40" t="n"/>
      <c r="I1000" s="39" t="n"/>
      <c r="J1000" s="13">
        <f>IF(N(F1000)&gt;0,G1000/F1000,"")</f>
        <v/>
      </c>
      <c r="K1000" s="10">
        <f>IF(N(G1000)&gt;0,E1000/G1000,"")</f>
        <v/>
      </c>
      <c r="L1000" s="10">
        <f>IF(N(H1000)&gt;0,E1000/H1000,"")</f>
        <v/>
      </c>
      <c r="M1000" s="11">
        <f>IF(N(E1000)&gt;0,I1000/E1000,"")</f>
        <v/>
      </c>
      <c r="N1000" s="10">
        <f>IF(AND(E1000="",I1000=""),"",N(I1000)*(1-COM-COM_SHOP)-N(E1000)*(1+IMP_META))</f>
        <v/>
      </c>
      <c r="O1000" s="37" t="n"/>
    </row>
    <row r="1001">
      <c r="A1001" s="36" t="n"/>
      <c r="B1001" s="37" t="n"/>
      <c r="C1001" s="37" t="n"/>
      <c r="D1001" s="38">
        <f>IF(C1001="","",IFERROR(INDEX(Anuncios!$B$6:$B$65,MATCH(C1001,Anuncios!$A$6:$A$65,0)),"(no está en Anuncios)"))</f>
        <v/>
      </c>
      <c r="E1001" s="39" t="n"/>
      <c r="F1001" s="40" t="n"/>
      <c r="G1001" s="40" t="n"/>
      <c r="H1001" s="40" t="n"/>
      <c r="I1001" s="39" t="n"/>
      <c r="J1001" s="13">
        <f>IF(N(F1001)&gt;0,G1001/F1001,"")</f>
        <v/>
      </c>
      <c r="K1001" s="10">
        <f>IF(N(G1001)&gt;0,E1001/G1001,"")</f>
        <v/>
      </c>
      <c r="L1001" s="10">
        <f>IF(N(H1001)&gt;0,E1001/H1001,"")</f>
        <v/>
      </c>
      <c r="M1001" s="11">
        <f>IF(N(E1001)&gt;0,I1001/E1001,"")</f>
        <v/>
      </c>
      <c r="N1001" s="10">
        <f>IF(AND(E1001="",I1001=""),"",N(I1001)*(1-COM-COM_SHOP)-N(E1001)*(1+IMP_META))</f>
        <v/>
      </c>
      <c r="O1001" s="37" t="n"/>
    </row>
    <row r="1002">
      <c r="A1002" s="36" t="n"/>
      <c r="B1002" s="37" t="n"/>
      <c r="C1002" s="37" t="n"/>
      <c r="D1002" s="38">
        <f>IF(C1002="","",IFERROR(INDEX(Anuncios!$B$6:$B$65,MATCH(C1002,Anuncios!$A$6:$A$65,0)),"(no está en Anuncios)"))</f>
        <v/>
      </c>
      <c r="E1002" s="39" t="n"/>
      <c r="F1002" s="40" t="n"/>
      <c r="G1002" s="40" t="n"/>
      <c r="H1002" s="40" t="n"/>
      <c r="I1002" s="39" t="n"/>
      <c r="J1002" s="13">
        <f>IF(N(F1002)&gt;0,G1002/F1002,"")</f>
        <v/>
      </c>
      <c r="K1002" s="10">
        <f>IF(N(G1002)&gt;0,E1002/G1002,"")</f>
        <v/>
      </c>
      <c r="L1002" s="10">
        <f>IF(N(H1002)&gt;0,E1002/H1002,"")</f>
        <v/>
      </c>
      <c r="M1002" s="11">
        <f>IF(N(E1002)&gt;0,I1002/E1002,"")</f>
        <v/>
      </c>
      <c r="N1002" s="10">
        <f>IF(AND(E1002="",I1002=""),"",N(I1002)*(1-COM-COM_SHOP)-N(E1002)*(1+IMP_META))</f>
        <v/>
      </c>
      <c r="O1002" s="37" t="n"/>
    </row>
    <row r="1003">
      <c r="A1003" s="36" t="n"/>
      <c r="B1003" s="37" t="n"/>
      <c r="C1003" s="37" t="n"/>
      <c r="D1003" s="38">
        <f>IF(C1003="","",IFERROR(INDEX(Anuncios!$B$6:$B$65,MATCH(C1003,Anuncios!$A$6:$A$65,0)),"(no está en Anuncios)"))</f>
        <v/>
      </c>
      <c r="E1003" s="39" t="n"/>
      <c r="F1003" s="40" t="n"/>
      <c r="G1003" s="40" t="n"/>
      <c r="H1003" s="40" t="n"/>
      <c r="I1003" s="39" t="n"/>
      <c r="J1003" s="13">
        <f>IF(N(F1003)&gt;0,G1003/F1003,"")</f>
        <v/>
      </c>
      <c r="K1003" s="10">
        <f>IF(N(G1003)&gt;0,E1003/G1003,"")</f>
        <v/>
      </c>
      <c r="L1003" s="10">
        <f>IF(N(H1003)&gt;0,E1003/H1003,"")</f>
        <v/>
      </c>
      <c r="M1003" s="11">
        <f>IF(N(E1003)&gt;0,I1003/E1003,"")</f>
        <v/>
      </c>
      <c r="N1003" s="10">
        <f>IF(AND(E1003="",I1003=""),"",N(I1003)*(1-COM-COM_SHOP)-N(E1003)*(1+IMP_META))</f>
        <v/>
      </c>
      <c r="O1003" s="37" t="n"/>
    </row>
    <row r="1004">
      <c r="A1004" s="36" t="n"/>
      <c r="B1004" s="37" t="n"/>
      <c r="C1004" s="37" t="n"/>
      <c r="D1004" s="38">
        <f>IF(C1004="","",IFERROR(INDEX(Anuncios!$B$6:$B$65,MATCH(C1004,Anuncios!$A$6:$A$65,0)),"(no está en Anuncios)"))</f>
        <v/>
      </c>
      <c r="E1004" s="39" t="n"/>
      <c r="F1004" s="40" t="n"/>
      <c r="G1004" s="40" t="n"/>
      <c r="H1004" s="40" t="n"/>
      <c r="I1004" s="39" t="n"/>
      <c r="J1004" s="13">
        <f>IF(N(F1004)&gt;0,G1004/F1004,"")</f>
        <v/>
      </c>
      <c r="K1004" s="10">
        <f>IF(N(G1004)&gt;0,E1004/G1004,"")</f>
        <v/>
      </c>
      <c r="L1004" s="10">
        <f>IF(N(H1004)&gt;0,E1004/H1004,"")</f>
        <v/>
      </c>
      <c r="M1004" s="11">
        <f>IF(N(E1004)&gt;0,I1004/E1004,"")</f>
        <v/>
      </c>
      <c r="N1004" s="10">
        <f>IF(AND(E1004="",I1004=""),"",N(I1004)*(1-COM-COM_SHOP)-N(E1004)*(1+IMP_META))</f>
        <v/>
      </c>
      <c r="O1004" s="37" t="n"/>
    </row>
    <row r="1005">
      <c r="A1005" s="36" t="n"/>
      <c r="B1005" s="37" t="n"/>
      <c r="C1005" s="37" t="n"/>
      <c r="D1005" s="38">
        <f>IF(C1005="","",IFERROR(INDEX(Anuncios!$B$6:$B$65,MATCH(C1005,Anuncios!$A$6:$A$65,0)),"(no está en Anuncios)"))</f>
        <v/>
      </c>
      <c r="E1005" s="39" t="n"/>
      <c r="F1005" s="40" t="n"/>
      <c r="G1005" s="40" t="n"/>
      <c r="H1005" s="40" t="n"/>
      <c r="I1005" s="39" t="n"/>
      <c r="J1005" s="13">
        <f>IF(N(F1005)&gt;0,G1005/F1005,"")</f>
        <v/>
      </c>
      <c r="K1005" s="10">
        <f>IF(N(G1005)&gt;0,E1005/G1005,"")</f>
        <v/>
      </c>
      <c r="L1005" s="10">
        <f>IF(N(H1005)&gt;0,E1005/H1005,"")</f>
        <v/>
      </c>
      <c r="M1005" s="11">
        <f>IF(N(E1005)&gt;0,I1005/E1005,"")</f>
        <v/>
      </c>
      <c r="N1005" s="10">
        <f>IF(AND(E1005="",I1005=""),"",N(I1005)*(1-COM-COM_SHOP)-N(E1005)*(1+IMP_META))</f>
        <v/>
      </c>
      <c r="O1005" s="37" t="n"/>
    </row>
    <row r="1006">
      <c r="A1006" s="36" t="n"/>
      <c r="B1006" s="37" t="n"/>
      <c r="C1006" s="37" t="n"/>
      <c r="D1006" s="38">
        <f>IF(C1006="","",IFERROR(INDEX(Anuncios!$B$6:$B$65,MATCH(C1006,Anuncios!$A$6:$A$65,0)),"(no está en Anuncios)"))</f>
        <v/>
      </c>
      <c r="E1006" s="39" t="n"/>
      <c r="F1006" s="40" t="n"/>
      <c r="G1006" s="40" t="n"/>
      <c r="H1006" s="40" t="n"/>
      <c r="I1006" s="39" t="n"/>
      <c r="J1006" s="13">
        <f>IF(N(F1006)&gt;0,G1006/F1006,"")</f>
        <v/>
      </c>
      <c r="K1006" s="10">
        <f>IF(N(G1006)&gt;0,E1006/G1006,"")</f>
        <v/>
      </c>
      <c r="L1006" s="10">
        <f>IF(N(H1006)&gt;0,E1006/H1006,"")</f>
        <v/>
      </c>
      <c r="M1006" s="11">
        <f>IF(N(E1006)&gt;0,I1006/E1006,"")</f>
        <v/>
      </c>
      <c r="N1006" s="10">
        <f>IF(AND(E1006="",I1006=""),"",N(I1006)*(1-COM-COM_SHOP)-N(E1006)*(1+IMP_META))</f>
        <v/>
      </c>
      <c r="O1006" s="37" t="n"/>
    </row>
    <row r="1007">
      <c r="A1007" s="36" t="n"/>
      <c r="B1007" s="37" t="n"/>
      <c r="C1007" s="37" t="n"/>
      <c r="D1007" s="38">
        <f>IF(C1007="","",IFERROR(INDEX(Anuncios!$B$6:$B$65,MATCH(C1007,Anuncios!$A$6:$A$65,0)),"(no está en Anuncios)"))</f>
        <v/>
      </c>
      <c r="E1007" s="39" t="n"/>
      <c r="F1007" s="40" t="n"/>
      <c r="G1007" s="40" t="n"/>
      <c r="H1007" s="40" t="n"/>
      <c r="I1007" s="39" t="n"/>
      <c r="J1007" s="13">
        <f>IF(N(F1007)&gt;0,G1007/F1007,"")</f>
        <v/>
      </c>
      <c r="K1007" s="10">
        <f>IF(N(G1007)&gt;0,E1007/G1007,"")</f>
        <v/>
      </c>
      <c r="L1007" s="10">
        <f>IF(N(H1007)&gt;0,E1007/H1007,"")</f>
        <v/>
      </c>
      <c r="M1007" s="11">
        <f>IF(N(E1007)&gt;0,I1007/E1007,"")</f>
        <v/>
      </c>
      <c r="N1007" s="10">
        <f>IF(AND(E1007="",I1007=""),"",N(I1007)*(1-COM-COM_SHOP)-N(E1007)*(1+IMP_META))</f>
        <v/>
      </c>
      <c r="O1007" s="37" t="n"/>
    </row>
    <row r="1008">
      <c r="A1008" s="36" t="n"/>
      <c r="B1008" s="37" t="n"/>
      <c r="C1008" s="37" t="n"/>
      <c r="D1008" s="38">
        <f>IF(C1008="","",IFERROR(INDEX(Anuncios!$B$6:$B$65,MATCH(C1008,Anuncios!$A$6:$A$65,0)),"(no está en Anuncios)"))</f>
        <v/>
      </c>
      <c r="E1008" s="39" t="n"/>
      <c r="F1008" s="40" t="n"/>
      <c r="G1008" s="40" t="n"/>
      <c r="H1008" s="40" t="n"/>
      <c r="I1008" s="39" t="n"/>
      <c r="J1008" s="13">
        <f>IF(N(F1008)&gt;0,G1008/F1008,"")</f>
        <v/>
      </c>
      <c r="K1008" s="10">
        <f>IF(N(G1008)&gt;0,E1008/G1008,"")</f>
        <v/>
      </c>
      <c r="L1008" s="10">
        <f>IF(N(H1008)&gt;0,E1008/H1008,"")</f>
        <v/>
      </c>
      <c r="M1008" s="11">
        <f>IF(N(E1008)&gt;0,I1008/E1008,"")</f>
        <v/>
      </c>
      <c r="N1008" s="10">
        <f>IF(AND(E1008="",I1008=""),"",N(I1008)*(1-COM-COM_SHOP)-N(E1008)*(1+IMP_META))</f>
        <v/>
      </c>
      <c r="O1008" s="37" t="n"/>
    </row>
    <row r="1009">
      <c r="A1009" s="36" t="n"/>
      <c r="B1009" s="37" t="n"/>
      <c r="C1009" s="37" t="n"/>
      <c r="D1009" s="38">
        <f>IF(C1009="","",IFERROR(INDEX(Anuncios!$B$6:$B$65,MATCH(C1009,Anuncios!$A$6:$A$65,0)),"(no está en Anuncios)"))</f>
        <v/>
      </c>
      <c r="E1009" s="39" t="n"/>
      <c r="F1009" s="40" t="n"/>
      <c r="G1009" s="40" t="n"/>
      <c r="H1009" s="40" t="n"/>
      <c r="I1009" s="39" t="n"/>
      <c r="J1009" s="13">
        <f>IF(N(F1009)&gt;0,G1009/F1009,"")</f>
        <v/>
      </c>
      <c r="K1009" s="10">
        <f>IF(N(G1009)&gt;0,E1009/G1009,"")</f>
        <v/>
      </c>
      <c r="L1009" s="10">
        <f>IF(N(H1009)&gt;0,E1009/H1009,"")</f>
        <v/>
      </c>
      <c r="M1009" s="11">
        <f>IF(N(E1009)&gt;0,I1009/E1009,"")</f>
        <v/>
      </c>
      <c r="N1009" s="10">
        <f>IF(AND(E1009="",I1009=""),"",N(I1009)*(1-COM-COM_SHOP)-N(E1009)*(1+IMP_META))</f>
        <v/>
      </c>
      <c r="O1009" s="37" t="n"/>
    </row>
    <row r="1010">
      <c r="A1010" s="36" t="n"/>
      <c r="B1010" s="37" t="n"/>
      <c r="C1010" s="37" t="n"/>
      <c r="D1010" s="38">
        <f>IF(C1010="","",IFERROR(INDEX(Anuncios!$B$6:$B$65,MATCH(C1010,Anuncios!$A$6:$A$65,0)),"(no está en Anuncios)"))</f>
        <v/>
      </c>
      <c r="E1010" s="39" t="n"/>
      <c r="F1010" s="40" t="n"/>
      <c r="G1010" s="40" t="n"/>
      <c r="H1010" s="40" t="n"/>
      <c r="I1010" s="39" t="n"/>
      <c r="J1010" s="13">
        <f>IF(N(F1010)&gt;0,G1010/F1010,"")</f>
        <v/>
      </c>
      <c r="K1010" s="10">
        <f>IF(N(G1010)&gt;0,E1010/G1010,"")</f>
        <v/>
      </c>
      <c r="L1010" s="10">
        <f>IF(N(H1010)&gt;0,E1010/H1010,"")</f>
        <v/>
      </c>
      <c r="M1010" s="11">
        <f>IF(N(E1010)&gt;0,I1010/E1010,"")</f>
        <v/>
      </c>
      <c r="N1010" s="10">
        <f>IF(AND(E1010="",I1010=""),"",N(I1010)*(1-COM-COM_SHOP)-N(E1010)*(1+IMP_META))</f>
        <v/>
      </c>
      <c r="O1010" s="37" t="n"/>
    </row>
    <row r="1011">
      <c r="A1011" s="36" t="n"/>
      <c r="B1011" s="37" t="n"/>
      <c r="C1011" s="37" t="n"/>
      <c r="D1011" s="38">
        <f>IF(C1011="","",IFERROR(INDEX(Anuncios!$B$6:$B$65,MATCH(C1011,Anuncios!$A$6:$A$65,0)),"(no está en Anuncios)"))</f>
        <v/>
      </c>
      <c r="E1011" s="39" t="n"/>
      <c r="F1011" s="40" t="n"/>
      <c r="G1011" s="40" t="n"/>
      <c r="H1011" s="40" t="n"/>
      <c r="I1011" s="39" t="n"/>
      <c r="J1011" s="13">
        <f>IF(N(F1011)&gt;0,G1011/F1011,"")</f>
        <v/>
      </c>
      <c r="K1011" s="10">
        <f>IF(N(G1011)&gt;0,E1011/G1011,"")</f>
        <v/>
      </c>
      <c r="L1011" s="10">
        <f>IF(N(H1011)&gt;0,E1011/H1011,"")</f>
        <v/>
      </c>
      <c r="M1011" s="11">
        <f>IF(N(E1011)&gt;0,I1011/E1011,"")</f>
        <v/>
      </c>
      <c r="N1011" s="10">
        <f>IF(AND(E1011="",I1011=""),"",N(I1011)*(1-COM-COM_SHOP)-N(E1011)*(1+IMP_META))</f>
        <v/>
      </c>
      <c r="O1011" s="37" t="n"/>
    </row>
    <row r="1012">
      <c r="A1012" s="36" t="n"/>
      <c r="B1012" s="37" t="n"/>
      <c r="C1012" s="37" t="n"/>
      <c r="D1012" s="38">
        <f>IF(C1012="","",IFERROR(INDEX(Anuncios!$B$6:$B$65,MATCH(C1012,Anuncios!$A$6:$A$65,0)),"(no está en Anuncios)"))</f>
        <v/>
      </c>
      <c r="E1012" s="39" t="n"/>
      <c r="F1012" s="40" t="n"/>
      <c r="G1012" s="40" t="n"/>
      <c r="H1012" s="40" t="n"/>
      <c r="I1012" s="39" t="n"/>
      <c r="J1012" s="13">
        <f>IF(N(F1012)&gt;0,G1012/F1012,"")</f>
        <v/>
      </c>
      <c r="K1012" s="10">
        <f>IF(N(G1012)&gt;0,E1012/G1012,"")</f>
        <v/>
      </c>
      <c r="L1012" s="10">
        <f>IF(N(H1012)&gt;0,E1012/H1012,"")</f>
        <v/>
      </c>
      <c r="M1012" s="11">
        <f>IF(N(E1012)&gt;0,I1012/E1012,"")</f>
        <v/>
      </c>
      <c r="N1012" s="10">
        <f>IF(AND(E1012="",I1012=""),"",N(I1012)*(1-COM-COM_SHOP)-N(E1012)*(1+IMP_META))</f>
        <v/>
      </c>
      <c r="O1012" s="37" t="n"/>
    </row>
    <row r="1013">
      <c r="A1013" s="36" t="n"/>
      <c r="B1013" s="37" t="n"/>
      <c r="C1013" s="37" t="n"/>
      <c r="D1013" s="38">
        <f>IF(C1013="","",IFERROR(INDEX(Anuncios!$B$6:$B$65,MATCH(C1013,Anuncios!$A$6:$A$65,0)),"(no está en Anuncios)"))</f>
        <v/>
      </c>
      <c r="E1013" s="39" t="n"/>
      <c r="F1013" s="40" t="n"/>
      <c r="G1013" s="40" t="n"/>
      <c r="H1013" s="40" t="n"/>
      <c r="I1013" s="39" t="n"/>
      <c r="J1013" s="13">
        <f>IF(N(F1013)&gt;0,G1013/F1013,"")</f>
        <v/>
      </c>
      <c r="K1013" s="10">
        <f>IF(N(G1013)&gt;0,E1013/G1013,"")</f>
        <v/>
      </c>
      <c r="L1013" s="10">
        <f>IF(N(H1013)&gt;0,E1013/H1013,"")</f>
        <v/>
      </c>
      <c r="M1013" s="11">
        <f>IF(N(E1013)&gt;0,I1013/E1013,"")</f>
        <v/>
      </c>
      <c r="N1013" s="10">
        <f>IF(AND(E1013="",I1013=""),"",N(I1013)*(1-COM-COM_SHOP)-N(E1013)*(1+IMP_META))</f>
        <v/>
      </c>
      <c r="O1013" s="37" t="n"/>
    </row>
    <row r="1014">
      <c r="A1014" s="36" t="n"/>
      <c r="B1014" s="37" t="n"/>
      <c r="C1014" s="37" t="n"/>
      <c r="D1014" s="38">
        <f>IF(C1014="","",IFERROR(INDEX(Anuncios!$B$6:$B$65,MATCH(C1014,Anuncios!$A$6:$A$65,0)),"(no está en Anuncios)"))</f>
        <v/>
      </c>
      <c r="E1014" s="39" t="n"/>
      <c r="F1014" s="40" t="n"/>
      <c r="G1014" s="40" t="n"/>
      <c r="H1014" s="40" t="n"/>
      <c r="I1014" s="39" t="n"/>
      <c r="J1014" s="13">
        <f>IF(N(F1014)&gt;0,G1014/F1014,"")</f>
        <v/>
      </c>
      <c r="K1014" s="10">
        <f>IF(N(G1014)&gt;0,E1014/G1014,"")</f>
        <v/>
      </c>
      <c r="L1014" s="10">
        <f>IF(N(H1014)&gt;0,E1014/H1014,"")</f>
        <v/>
      </c>
      <c r="M1014" s="11">
        <f>IF(N(E1014)&gt;0,I1014/E1014,"")</f>
        <v/>
      </c>
      <c r="N1014" s="10">
        <f>IF(AND(E1014="",I1014=""),"",N(I1014)*(1-COM-COM_SHOP)-N(E1014)*(1+IMP_META))</f>
        <v/>
      </c>
      <c r="O1014" s="37" t="n"/>
    </row>
    <row r="1015">
      <c r="A1015" s="36" t="n"/>
      <c r="B1015" s="37" t="n"/>
      <c r="C1015" s="37" t="n"/>
      <c r="D1015" s="38">
        <f>IF(C1015="","",IFERROR(INDEX(Anuncios!$B$6:$B$65,MATCH(C1015,Anuncios!$A$6:$A$65,0)),"(no está en Anuncios)"))</f>
        <v/>
      </c>
      <c r="E1015" s="39" t="n"/>
      <c r="F1015" s="40" t="n"/>
      <c r="G1015" s="40" t="n"/>
      <c r="H1015" s="40" t="n"/>
      <c r="I1015" s="39" t="n"/>
      <c r="J1015" s="13">
        <f>IF(N(F1015)&gt;0,G1015/F1015,"")</f>
        <v/>
      </c>
      <c r="K1015" s="10">
        <f>IF(N(G1015)&gt;0,E1015/G1015,"")</f>
        <v/>
      </c>
      <c r="L1015" s="10">
        <f>IF(N(H1015)&gt;0,E1015/H1015,"")</f>
        <v/>
      </c>
      <c r="M1015" s="11">
        <f>IF(N(E1015)&gt;0,I1015/E1015,"")</f>
        <v/>
      </c>
      <c r="N1015" s="10">
        <f>IF(AND(E1015="",I1015=""),"",N(I1015)*(1-COM-COM_SHOP)-N(E1015)*(1+IMP_META))</f>
        <v/>
      </c>
      <c r="O1015" s="37" t="n"/>
    </row>
    <row r="1016">
      <c r="A1016" s="36" t="n"/>
      <c r="B1016" s="37" t="n"/>
      <c r="C1016" s="37" t="n"/>
      <c r="D1016" s="38">
        <f>IF(C1016="","",IFERROR(INDEX(Anuncios!$B$6:$B$65,MATCH(C1016,Anuncios!$A$6:$A$65,0)),"(no está en Anuncios)"))</f>
        <v/>
      </c>
      <c r="E1016" s="39" t="n"/>
      <c r="F1016" s="40" t="n"/>
      <c r="G1016" s="40" t="n"/>
      <c r="H1016" s="40" t="n"/>
      <c r="I1016" s="39" t="n"/>
      <c r="J1016" s="13">
        <f>IF(N(F1016)&gt;0,G1016/F1016,"")</f>
        <v/>
      </c>
      <c r="K1016" s="10">
        <f>IF(N(G1016)&gt;0,E1016/G1016,"")</f>
        <v/>
      </c>
      <c r="L1016" s="10">
        <f>IF(N(H1016)&gt;0,E1016/H1016,"")</f>
        <v/>
      </c>
      <c r="M1016" s="11">
        <f>IF(N(E1016)&gt;0,I1016/E1016,"")</f>
        <v/>
      </c>
      <c r="N1016" s="10">
        <f>IF(AND(E1016="",I1016=""),"",N(I1016)*(1-COM-COM_SHOP)-N(E1016)*(1+IMP_META))</f>
        <v/>
      </c>
      <c r="O1016" s="37" t="n"/>
    </row>
    <row r="1017">
      <c r="A1017" s="36" t="n"/>
      <c r="B1017" s="37" t="n"/>
      <c r="C1017" s="37" t="n"/>
      <c r="D1017" s="38">
        <f>IF(C1017="","",IFERROR(INDEX(Anuncios!$B$6:$B$65,MATCH(C1017,Anuncios!$A$6:$A$65,0)),"(no está en Anuncios)"))</f>
        <v/>
      </c>
      <c r="E1017" s="39" t="n"/>
      <c r="F1017" s="40" t="n"/>
      <c r="G1017" s="40" t="n"/>
      <c r="H1017" s="40" t="n"/>
      <c r="I1017" s="39" t="n"/>
      <c r="J1017" s="13">
        <f>IF(N(F1017)&gt;0,G1017/F1017,"")</f>
        <v/>
      </c>
      <c r="K1017" s="10">
        <f>IF(N(G1017)&gt;0,E1017/G1017,"")</f>
        <v/>
      </c>
      <c r="L1017" s="10">
        <f>IF(N(H1017)&gt;0,E1017/H1017,"")</f>
        <v/>
      </c>
      <c r="M1017" s="11">
        <f>IF(N(E1017)&gt;0,I1017/E1017,"")</f>
        <v/>
      </c>
      <c r="N1017" s="10">
        <f>IF(AND(E1017="",I1017=""),"",N(I1017)*(1-COM-COM_SHOP)-N(E1017)*(1+IMP_META))</f>
        <v/>
      </c>
      <c r="O1017" s="37" t="n"/>
    </row>
    <row r="1018">
      <c r="A1018" s="36" t="n"/>
      <c r="B1018" s="37" t="n"/>
      <c r="C1018" s="37" t="n"/>
      <c r="D1018" s="38">
        <f>IF(C1018="","",IFERROR(INDEX(Anuncios!$B$6:$B$65,MATCH(C1018,Anuncios!$A$6:$A$65,0)),"(no está en Anuncios)"))</f>
        <v/>
      </c>
      <c r="E1018" s="39" t="n"/>
      <c r="F1018" s="40" t="n"/>
      <c r="G1018" s="40" t="n"/>
      <c r="H1018" s="40" t="n"/>
      <c r="I1018" s="39" t="n"/>
      <c r="J1018" s="13">
        <f>IF(N(F1018)&gt;0,G1018/F1018,"")</f>
        <v/>
      </c>
      <c r="K1018" s="10">
        <f>IF(N(G1018)&gt;0,E1018/G1018,"")</f>
        <v/>
      </c>
      <c r="L1018" s="10">
        <f>IF(N(H1018)&gt;0,E1018/H1018,"")</f>
        <v/>
      </c>
      <c r="M1018" s="11">
        <f>IF(N(E1018)&gt;0,I1018/E1018,"")</f>
        <v/>
      </c>
      <c r="N1018" s="10">
        <f>IF(AND(E1018="",I1018=""),"",N(I1018)*(1-COM-COM_SHOP)-N(E1018)*(1+IMP_META))</f>
        <v/>
      </c>
      <c r="O1018" s="37" t="n"/>
    </row>
    <row r="1019">
      <c r="A1019" s="36" t="n"/>
      <c r="B1019" s="37" t="n"/>
      <c r="C1019" s="37" t="n"/>
      <c r="D1019" s="38">
        <f>IF(C1019="","",IFERROR(INDEX(Anuncios!$B$6:$B$65,MATCH(C1019,Anuncios!$A$6:$A$65,0)),"(no está en Anuncios)"))</f>
        <v/>
      </c>
      <c r="E1019" s="39" t="n"/>
      <c r="F1019" s="40" t="n"/>
      <c r="G1019" s="40" t="n"/>
      <c r="H1019" s="40" t="n"/>
      <c r="I1019" s="39" t="n"/>
      <c r="J1019" s="13">
        <f>IF(N(F1019)&gt;0,G1019/F1019,"")</f>
        <v/>
      </c>
      <c r="K1019" s="10">
        <f>IF(N(G1019)&gt;0,E1019/G1019,"")</f>
        <v/>
      </c>
      <c r="L1019" s="10">
        <f>IF(N(H1019)&gt;0,E1019/H1019,"")</f>
        <v/>
      </c>
      <c r="M1019" s="11">
        <f>IF(N(E1019)&gt;0,I1019/E1019,"")</f>
        <v/>
      </c>
      <c r="N1019" s="10">
        <f>IF(AND(E1019="",I1019=""),"",N(I1019)*(1-COM-COM_SHOP)-N(E1019)*(1+IMP_META))</f>
        <v/>
      </c>
      <c r="O1019" s="37" t="n"/>
    </row>
    <row r="1020">
      <c r="A1020" s="36" t="n"/>
      <c r="B1020" s="37" t="n"/>
      <c r="C1020" s="37" t="n"/>
      <c r="D1020" s="38">
        <f>IF(C1020="","",IFERROR(INDEX(Anuncios!$B$6:$B$65,MATCH(C1020,Anuncios!$A$6:$A$65,0)),"(no está en Anuncios)"))</f>
        <v/>
      </c>
      <c r="E1020" s="39" t="n"/>
      <c r="F1020" s="40" t="n"/>
      <c r="G1020" s="40" t="n"/>
      <c r="H1020" s="40" t="n"/>
      <c r="I1020" s="39" t="n"/>
      <c r="J1020" s="13">
        <f>IF(N(F1020)&gt;0,G1020/F1020,"")</f>
        <v/>
      </c>
      <c r="K1020" s="10">
        <f>IF(N(G1020)&gt;0,E1020/G1020,"")</f>
        <v/>
      </c>
      <c r="L1020" s="10">
        <f>IF(N(H1020)&gt;0,E1020/H1020,"")</f>
        <v/>
      </c>
      <c r="M1020" s="11">
        <f>IF(N(E1020)&gt;0,I1020/E1020,"")</f>
        <v/>
      </c>
      <c r="N1020" s="10">
        <f>IF(AND(E1020="",I1020=""),"",N(I1020)*(1-COM-COM_SHOP)-N(E1020)*(1+IMP_META))</f>
        <v/>
      </c>
      <c r="O1020" s="37" t="n"/>
    </row>
    <row r="1021">
      <c r="A1021" s="36" t="n"/>
      <c r="B1021" s="37" t="n"/>
      <c r="C1021" s="37" t="n"/>
      <c r="D1021" s="38">
        <f>IF(C1021="","",IFERROR(INDEX(Anuncios!$B$6:$B$65,MATCH(C1021,Anuncios!$A$6:$A$65,0)),"(no está en Anuncios)"))</f>
        <v/>
      </c>
      <c r="E1021" s="39" t="n"/>
      <c r="F1021" s="40" t="n"/>
      <c r="G1021" s="40" t="n"/>
      <c r="H1021" s="40" t="n"/>
      <c r="I1021" s="39" t="n"/>
      <c r="J1021" s="13">
        <f>IF(N(F1021)&gt;0,G1021/F1021,"")</f>
        <v/>
      </c>
      <c r="K1021" s="10">
        <f>IF(N(G1021)&gt;0,E1021/G1021,"")</f>
        <v/>
      </c>
      <c r="L1021" s="10">
        <f>IF(N(H1021)&gt;0,E1021/H1021,"")</f>
        <v/>
      </c>
      <c r="M1021" s="11">
        <f>IF(N(E1021)&gt;0,I1021/E1021,"")</f>
        <v/>
      </c>
      <c r="N1021" s="10">
        <f>IF(AND(E1021="",I1021=""),"",N(I1021)*(1-COM-COM_SHOP)-N(E1021)*(1+IMP_META))</f>
        <v/>
      </c>
      <c r="O1021" s="37" t="n"/>
    </row>
    <row r="1022">
      <c r="A1022" s="36" t="n"/>
      <c r="B1022" s="37" t="n"/>
      <c r="C1022" s="37" t="n"/>
      <c r="D1022" s="38">
        <f>IF(C1022="","",IFERROR(INDEX(Anuncios!$B$6:$B$65,MATCH(C1022,Anuncios!$A$6:$A$65,0)),"(no está en Anuncios)"))</f>
        <v/>
      </c>
      <c r="E1022" s="39" t="n"/>
      <c r="F1022" s="40" t="n"/>
      <c r="G1022" s="40" t="n"/>
      <c r="H1022" s="40" t="n"/>
      <c r="I1022" s="39" t="n"/>
      <c r="J1022" s="13">
        <f>IF(N(F1022)&gt;0,G1022/F1022,"")</f>
        <v/>
      </c>
      <c r="K1022" s="10">
        <f>IF(N(G1022)&gt;0,E1022/G1022,"")</f>
        <v/>
      </c>
      <c r="L1022" s="10">
        <f>IF(N(H1022)&gt;0,E1022/H1022,"")</f>
        <v/>
      </c>
      <c r="M1022" s="11">
        <f>IF(N(E1022)&gt;0,I1022/E1022,"")</f>
        <v/>
      </c>
      <c r="N1022" s="10">
        <f>IF(AND(E1022="",I1022=""),"",N(I1022)*(1-COM-COM_SHOP)-N(E1022)*(1+IMP_META))</f>
        <v/>
      </c>
      <c r="O1022" s="37" t="n"/>
    </row>
    <row r="1023">
      <c r="A1023" s="36" t="n"/>
      <c r="B1023" s="37" t="n"/>
      <c r="C1023" s="37" t="n"/>
      <c r="D1023" s="38">
        <f>IF(C1023="","",IFERROR(INDEX(Anuncios!$B$6:$B$65,MATCH(C1023,Anuncios!$A$6:$A$65,0)),"(no está en Anuncios)"))</f>
        <v/>
      </c>
      <c r="E1023" s="39" t="n"/>
      <c r="F1023" s="40" t="n"/>
      <c r="G1023" s="40" t="n"/>
      <c r="H1023" s="40" t="n"/>
      <c r="I1023" s="39" t="n"/>
      <c r="J1023" s="13">
        <f>IF(N(F1023)&gt;0,G1023/F1023,"")</f>
        <v/>
      </c>
      <c r="K1023" s="10">
        <f>IF(N(G1023)&gt;0,E1023/G1023,"")</f>
        <v/>
      </c>
      <c r="L1023" s="10">
        <f>IF(N(H1023)&gt;0,E1023/H1023,"")</f>
        <v/>
      </c>
      <c r="M1023" s="11">
        <f>IF(N(E1023)&gt;0,I1023/E1023,"")</f>
        <v/>
      </c>
      <c r="N1023" s="10">
        <f>IF(AND(E1023="",I1023=""),"",N(I1023)*(1-COM-COM_SHOP)-N(E1023)*(1+IMP_META))</f>
        <v/>
      </c>
      <c r="O1023" s="37" t="n"/>
    </row>
    <row r="1024">
      <c r="A1024" s="36" t="n"/>
      <c r="B1024" s="37" t="n"/>
      <c r="C1024" s="37" t="n"/>
      <c r="D1024" s="38">
        <f>IF(C1024="","",IFERROR(INDEX(Anuncios!$B$6:$B$65,MATCH(C1024,Anuncios!$A$6:$A$65,0)),"(no está en Anuncios)"))</f>
        <v/>
      </c>
      <c r="E1024" s="39" t="n"/>
      <c r="F1024" s="40" t="n"/>
      <c r="G1024" s="40" t="n"/>
      <c r="H1024" s="40" t="n"/>
      <c r="I1024" s="39" t="n"/>
      <c r="J1024" s="13">
        <f>IF(N(F1024)&gt;0,G1024/F1024,"")</f>
        <v/>
      </c>
      <c r="K1024" s="10">
        <f>IF(N(G1024)&gt;0,E1024/G1024,"")</f>
        <v/>
      </c>
      <c r="L1024" s="10">
        <f>IF(N(H1024)&gt;0,E1024/H1024,"")</f>
        <v/>
      </c>
      <c r="M1024" s="11">
        <f>IF(N(E1024)&gt;0,I1024/E1024,"")</f>
        <v/>
      </c>
      <c r="N1024" s="10">
        <f>IF(AND(E1024="",I1024=""),"",N(I1024)*(1-COM-COM_SHOP)-N(E1024)*(1+IMP_META))</f>
        <v/>
      </c>
      <c r="O1024" s="37" t="n"/>
    </row>
    <row r="1025">
      <c r="A1025" s="36" t="n"/>
      <c r="B1025" s="37" t="n"/>
      <c r="C1025" s="37" t="n"/>
      <c r="D1025" s="38">
        <f>IF(C1025="","",IFERROR(INDEX(Anuncios!$B$6:$B$65,MATCH(C1025,Anuncios!$A$6:$A$65,0)),"(no está en Anuncios)"))</f>
        <v/>
      </c>
      <c r="E1025" s="39" t="n"/>
      <c r="F1025" s="40" t="n"/>
      <c r="G1025" s="40" t="n"/>
      <c r="H1025" s="40" t="n"/>
      <c r="I1025" s="39" t="n"/>
      <c r="J1025" s="13">
        <f>IF(N(F1025)&gt;0,G1025/F1025,"")</f>
        <v/>
      </c>
      <c r="K1025" s="10">
        <f>IF(N(G1025)&gt;0,E1025/G1025,"")</f>
        <v/>
      </c>
      <c r="L1025" s="10">
        <f>IF(N(H1025)&gt;0,E1025/H1025,"")</f>
        <v/>
      </c>
      <c r="M1025" s="11">
        <f>IF(N(E1025)&gt;0,I1025/E1025,"")</f>
        <v/>
      </c>
      <c r="N1025" s="10">
        <f>IF(AND(E1025="",I1025=""),"",N(I1025)*(1-COM-COM_SHOP)-N(E1025)*(1+IMP_META))</f>
        <v/>
      </c>
      <c r="O1025" s="37" t="n"/>
    </row>
    <row r="1026">
      <c r="A1026" s="36" t="n"/>
      <c r="B1026" s="37" t="n"/>
      <c r="C1026" s="37" t="n"/>
      <c r="D1026" s="38">
        <f>IF(C1026="","",IFERROR(INDEX(Anuncios!$B$6:$B$65,MATCH(C1026,Anuncios!$A$6:$A$65,0)),"(no está en Anuncios)"))</f>
        <v/>
      </c>
      <c r="E1026" s="39" t="n"/>
      <c r="F1026" s="40" t="n"/>
      <c r="G1026" s="40" t="n"/>
      <c r="H1026" s="40" t="n"/>
      <c r="I1026" s="39" t="n"/>
      <c r="J1026" s="13">
        <f>IF(N(F1026)&gt;0,G1026/F1026,"")</f>
        <v/>
      </c>
      <c r="K1026" s="10">
        <f>IF(N(G1026)&gt;0,E1026/G1026,"")</f>
        <v/>
      </c>
      <c r="L1026" s="10">
        <f>IF(N(H1026)&gt;0,E1026/H1026,"")</f>
        <v/>
      </c>
      <c r="M1026" s="11">
        <f>IF(N(E1026)&gt;0,I1026/E1026,"")</f>
        <v/>
      </c>
      <c r="N1026" s="10">
        <f>IF(AND(E1026="",I1026=""),"",N(I1026)*(1-COM-COM_SHOP)-N(E1026)*(1+IMP_META))</f>
        <v/>
      </c>
      <c r="O1026" s="37" t="n"/>
    </row>
    <row r="1027">
      <c r="A1027" s="36" t="n"/>
      <c r="B1027" s="37" t="n"/>
      <c r="C1027" s="37" t="n"/>
      <c r="D1027" s="38">
        <f>IF(C1027="","",IFERROR(INDEX(Anuncios!$B$6:$B$65,MATCH(C1027,Anuncios!$A$6:$A$65,0)),"(no está en Anuncios)"))</f>
        <v/>
      </c>
      <c r="E1027" s="39" t="n"/>
      <c r="F1027" s="40" t="n"/>
      <c r="G1027" s="40" t="n"/>
      <c r="H1027" s="40" t="n"/>
      <c r="I1027" s="39" t="n"/>
      <c r="J1027" s="13">
        <f>IF(N(F1027)&gt;0,G1027/F1027,"")</f>
        <v/>
      </c>
      <c r="K1027" s="10">
        <f>IF(N(G1027)&gt;0,E1027/G1027,"")</f>
        <v/>
      </c>
      <c r="L1027" s="10">
        <f>IF(N(H1027)&gt;0,E1027/H1027,"")</f>
        <v/>
      </c>
      <c r="M1027" s="11">
        <f>IF(N(E1027)&gt;0,I1027/E1027,"")</f>
        <v/>
      </c>
      <c r="N1027" s="10">
        <f>IF(AND(E1027="",I1027=""),"",N(I1027)*(1-COM-COM_SHOP)-N(E1027)*(1+IMP_META))</f>
        <v/>
      </c>
      <c r="O1027" s="37" t="n"/>
    </row>
    <row r="1028">
      <c r="A1028" s="36" t="n"/>
      <c r="B1028" s="37" t="n"/>
      <c r="C1028" s="37" t="n"/>
      <c r="D1028" s="38">
        <f>IF(C1028="","",IFERROR(INDEX(Anuncios!$B$6:$B$65,MATCH(C1028,Anuncios!$A$6:$A$65,0)),"(no está en Anuncios)"))</f>
        <v/>
      </c>
      <c r="E1028" s="39" t="n"/>
      <c r="F1028" s="40" t="n"/>
      <c r="G1028" s="40" t="n"/>
      <c r="H1028" s="40" t="n"/>
      <c r="I1028" s="39" t="n"/>
      <c r="J1028" s="13">
        <f>IF(N(F1028)&gt;0,G1028/F1028,"")</f>
        <v/>
      </c>
      <c r="K1028" s="10">
        <f>IF(N(G1028)&gt;0,E1028/G1028,"")</f>
        <v/>
      </c>
      <c r="L1028" s="10">
        <f>IF(N(H1028)&gt;0,E1028/H1028,"")</f>
        <v/>
      </c>
      <c r="M1028" s="11">
        <f>IF(N(E1028)&gt;0,I1028/E1028,"")</f>
        <v/>
      </c>
      <c r="N1028" s="10">
        <f>IF(AND(E1028="",I1028=""),"",N(I1028)*(1-COM-COM_SHOP)-N(E1028)*(1+IMP_META))</f>
        <v/>
      </c>
      <c r="O1028" s="37" t="n"/>
    </row>
    <row r="1029">
      <c r="A1029" s="36" t="n"/>
      <c r="B1029" s="37" t="n"/>
      <c r="C1029" s="37" t="n"/>
      <c r="D1029" s="38">
        <f>IF(C1029="","",IFERROR(INDEX(Anuncios!$B$6:$B$65,MATCH(C1029,Anuncios!$A$6:$A$65,0)),"(no está en Anuncios)"))</f>
        <v/>
      </c>
      <c r="E1029" s="39" t="n"/>
      <c r="F1029" s="40" t="n"/>
      <c r="G1029" s="40" t="n"/>
      <c r="H1029" s="40" t="n"/>
      <c r="I1029" s="39" t="n"/>
      <c r="J1029" s="13">
        <f>IF(N(F1029)&gt;0,G1029/F1029,"")</f>
        <v/>
      </c>
      <c r="K1029" s="10">
        <f>IF(N(G1029)&gt;0,E1029/G1029,"")</f>
        <v/>
      </c>
      <c r="L1029" s="10">
        <f>IF(N(H1029)&gt;0,E1029/H1029,"")</f>
        <v/>
      </c>
      <c r="M1029" s="11">
        <f>IF(N(E1029)&gt;0,I1029/E1029,"")</f>
        <v/>
      </c>
      <c r="N1029" s="10">
        <f>IF(AND(E1029="",I1029=""),"",N(I1029)*(1-COM-COM_SHOP)-N(E1029)*(1+IMP_META))</f>
        <v/>
      </c>
      <c r="O1029" s="37" t="n"/>
    </row>
    <row r="1030">
      <c r="A1030" s="36" t="n"/>
      <c r="B1030" s="37" t="n"/>
      <c r="C1030" s="37" t="n"/>
      <c r="D1030" s="38">
        <f>IF(C1030="","",IFERROR(INDEX(Anuncios!$B$6:$B$65,MATCH(C1030,Anuncios!$A$6:$A$65,0)),"(no está en Anuncios)"))</f>
        <v/>
      </c>
      <c r="E1030" s="39" t="n"/>
      <c r="F1030" s="40" t="n"/>
      <c r="G1030" s="40" t="n"/>
      <c r="H1030" s="40" t="n"/>
      <c r="I1030" s="39" t="n"/>
      <c r="J1030" s="13">
        <f>IF(N(F1030)&gt;0,G1030/F1030,"")</f>
        <v/>
      </c>
      <c r="K1030" s="10">
        <f>IF(N(G1030)&gt;0,E1030/G1030,"")</f>
        <v/>
      </c>
      <c r="L1030" s="10">
        <f>IF(N(H1030)&gt;0,E1030/H1030,"")</f>
        <v/>
      </c>
      <c r="M1030" s="11">
        <f>IF(N(E1030)&gt;0,I1030/E1030,"")</f>
        <v/>
      </c>
      <c r="N1030" s="10">
        <f>IF(AND(E1030="",I1030=""),"",N(I1030)*(1-COM-COM_SHOP)-N(E1030)*(1+IMP_META))</f>
        <v/>
      </c>
      <c r="O1030" s="37" t="n"/>
    </row>
    <row r="1031">
      <c r="A1031" s="36" t="n"/>
      <c r="B1031" s="37" t="n"/>
      <c r="C1031" s="37" t="n"/>
      <c r="D1031" s="38">
        <f>IF(C1031="","",IFERROR(INDEX(Anuncios!$B$6:$B$65,MATCH(C1031,Anuncios!$A$6:$A$65,0)),"(no está en Anuncios)"))</f>
        <v/>
      </c>
      <c r="E1031" s="39" t="n"/>
      <c r="F1031" s="40" t="n"/>
      <c r="G1031" s="40" t="n"/>
      <c r="H1031" s="40" t="n"/>
      <c r="I1031" s="39" t="n"/>
      <c r="J1031" s="13">
        <f>IF(N(F1031)&gt;0,G1031/F1031,"")</f>
        <v/>
      </c>
      <c r="K1031" s="10">
        <f>IF(N(G1031)&gt;0,E1031/G1031,"")</f>
        <v/>
      </c>
      <c r="L1031" s="10">
        <f>IF(N(H1031)&gt;0,E1031/H1031,"")</f>
        <v/>
      </c>
      <c r="M1031" s="11">
        <f>IF(N(E1031)&gt;0,I1031/E1031,"")</f>
        <v/>
      </c>
      <c r="N1031" s="10">
        <f>IF(AND(E1031="",I1031=""),"",N(I1031)*(1-COM-COM_SHOP)-N(E1031)*(1+IMP_META))</f>
        <v/>
      </c>
      <c r="O1031" s="37" t="n"/>
    </row>
    <row r="1032">
      <c r="A1032" s="36" t="n"/>
      <c r="B1032" s="37" t="n"/>
      <c r="C1032" s="37" t="n"/>
      <c r="D1032" s="38">
        <f>IF(C1032="","",IFERROR(INDEX(Anuncios!$B$6:$B$65,MATCH(C1032,Anuncios!$A$6:$A$65,0)),"(no está en Anuncios)"))</f>
        <v/>
      </c>
      <c r="E1032" s="39" t="n"/>
      <c r="F1032" s="40" t="n"/>
      <c r="G1032" s="40" t="n"/>
      <c r="H1032" s="40" t="n"/>
      <c r="I1032" s="39" t="n"/>
      <c r="J1032" s="13">
        <f>IF(N(F1032)&gt;0,G1032/F1032,"")</f>
        <v/>
      </c>
      <c r="K1032" s="10">
        <f>IF(N(G1032)&gt;0,E1032/G1032,"")</f>
        <v/>
      </c>
      <c r="L1032" s="10">
        <f>IF(N(H1032)&gt;0,E1032/H1032,"")</f>
        <v/>
      </c>
      <c r="M1032" s="11">
        <f>IF(N(E1032)&gt;0,I1032/E1032,"")</f>
        <v/>
      </c>
      <c r="N1032" s="10">
        <f>IF(AND(E1032="",I1032=""),"",N(I1032)*(1-COM-COM_SHOP)-N(E1032)*(1+IMP_META))</f>
        <v/>
      </c>
      <c r="O1032" s="37" t="n"/>
    </row>
    <row r="1033">
      <c r="A1033" s="36" t="n"/>
      <c r="B1033" s="37" t="n"/>
      <c r="C1033" s="37" t="n"/>
      <c r="D1033" s="38">
        <f>IF(C1033="","",IFERROR(INDEX(Anuncios!$B$6:$B$65,MATCH(C1033,Anuncios!$A$6:$A$65,0)),"(no está en Anuncios)"))</f>
        <v/>
      </c>
      <c r="E1033" s="39" t="n"/>
      <c r="F1033" s="40" t="n"/>
      <c r="G1033" s="40" t="n"/>
      <c r="H1033" s="40" t="n"/>
      <c r="I1033" s="39" t="n"/>
      <c r="J1033" s="13">
        <f>IF(N(F1033)&gt;0,G1033/F1033,"")</f>
        <v/>
      </c>
      <c r="K1033" s="10">
        <f>IF(N(G1033)&gt;0,E1033/G1033,"")</f>
        <v/>
      </c>
      <c r="L1033" s="10">
        <f>IF(N(H1033)&gt;0,E1033/H1033,"")</f>
        <v/>
      </c>
      <c r="M1033" s="11">
        <f>IF(N(E1033)&gt;0,I1033/E1033,"")</f>
        <v/>
      </c>
      <c r="N1033" s="10">
        <f>IF(AND(E1033="",I1033=""),"",N(I1033)*(1-COM-COM_SHOP)-N(E1033)*(1+IMP_META))</f>
        <v/>
      </c>
      <c r="O1033" s="37" t="n"/>
    </row>
    <row r="1034">
      <c r="A1034" s="36" t="n"/>
      <c r="B1034" s="37" t="n"/>
      <c r="C1034" s="37" t="n"/>
      <c r="D1034" s="38">
        <f>IF(C1034="","",IFERROR(INDEX(Anuncios!$B$6:$B$65,MATCH(C1034,Anuncios!$A$6:$A$65,0)),"(no está en Anuncios)"))</f>
        <v/>
      </c>
      <c r="E1034" s="39" t="n"/>
      <c r="F1034" s="40" t="n"/>
      <c r="G1034" s="40" t="n"/>
      <c r="H1034" s="40" t="n"/>
      <c r="I1034" s="39" t="n"/>
      <c r="J1034" s="13">
        <f>IF(N(F1034)&gt;0,G1034/F1034,"")</f>
        <v/>
      </c>
      <c r="K1034" s="10">
        <f>IF(N(G1034)&gt;0,E1034/G1034,"")</f>
        <v/>
      </c>
      <c r="L1034" s="10">
        <f>IF(N(H1034)&gt;0,E1034/H1034,"")</f>
        <v/>
      </c>
      <c r="M1034" s="11">
        <f>IF(N(E1034)&gt;0,I1034/E1034,"")</f>
        <v/>
      </c>
      <c r="N1034" s="10">
        <f>IF(AND(E1034="",I1034=""),"",N(I1034)*(1-COM-COM_SHOP)-N(E1034)*(1+IMP_META))</f>
        <v/>
      </c>
      <c r="O1034" s="37" t="n"/>
    </row>
    <row r="1035">
      <c r="A1035" s="36" t="n"/>
      <c r="B1035" s="37" t="n"/>
      <c r="C1035" s="37" t="n"/>
      <c r="D1035" s="38">
        <f>IF(C1035="","",IFERROR(INDEX(Anuncios!$B$6:$B$65,MATCH(C1035,Anuncios!$A$6:$A$65,0)),"(no está en Anuncios)"))</f>
        <v/>
      </c>
      <c r="E1035" s="39" t="n"/>
      <c r="F1035" s="40" t="n"/>
      <c r="G1035" s="40" t="n"/>
      <c r="H1035" s="40" t="n"/>
      <c r="I1035" s="39" t="n"/>
      <c r="J1035" s="13">
        <f>IF(N(F1035)&gt;0,G1035/F1035,"")</f>
        <v/>
      </c>
      <c r="K1035" s="10">
        <f>IF(N(G1035)&gt;0,E1035/G1035,"")</f>
        <v/>
      </c>
      <c r="L1035" s="10">
        <f>IF(N(H1035)&gt;0,E1035/H1035,"")</f>
        <v/>
      </c>
      <c r="M1035" s="11">
        <f>IF(N(E1035)&gt;0,I1035/E1035,"")</f>
        <v/>
      </c>
      <c r="N1035" s="10">
        <f>IF(AND(E1035="",I1035=""),"",N(I1035)*(1-COM-COM_SHOP)-N(E1035)*(1+IMP_META))</f>
        <v/>
      </c>
      <c r="O1035" s="37" t="n"/>
    </row>
    <row r="1036">
      <c r="A1036" s="36" t="n"/>
      <c r="B1036" s="37" t="n"/>
      <c r="C1036" s="37" t="n"/>
      <c r="D1036" s="38">
        <f>IF(C1036="","",IFERROR(INDEX(Anuncios!$B$6:$B$65,MATCH(C1036,Anuncios!$A$6:$A$65,0)),"(no está en Anuncios)"))</f>
        <v/>
      </c>
      <c r="E1036" s="39" t="n"/>
      <c r="F1036" s="40" t="n"/>
      <c r="G1036" s="40" t="n"/>
      <c r="H1036" s="40" t="n"/>
      <c r="I1036" s="39" t="n"/>
      <c r="J1036" s="13">
        <f>IF(N(F1036)&gt;0,G1036/F1036,"")</f>
        <v/>
      </c>
      <c r="K1036" s="10">
        <f>IF(N(G1036)&gt;0,E1036/G1036,"")</f>
        <v/>
      </c>
      <c r="L1036" s="10">
        <f>IF(N(H1036)&gt;0,E1036/H1036,"")</f>
        <v/>
      </c>
      <c r="M1036" s="11">
        <f>IF(N(E1036)&gt;0,I1036/E1036,"")</f>
        <v/>
      </c>
      <c r="N1036" s="10">
        <f>IF(AND(E1036="",I1036=""),"",N(I1036)*(1-COM-COM_SHOP)-N(E1036)*(1+IMP_META))</f>
        <v/>
      </c>
      <c r="O1036" s="37" t="n"/>
    </row>
    <row r="1037">
      <c r="A1037" s="36" t="n"/>
      <c r="B1037" s="37" t="n"/>
      <c r="C1037" s="37" t="n"/>
      <c r="D1037" s="38">
        <f>IF(C1037="","",IFERROR(INDEX(Anuncios!$B$6:$B$65,MATCH(C1037,Anuncios!$A$6:$A$65,0)),"(no está en Anuncios)"))</f>
        <v/>
      </c>
      <c r="E1037" s="39" t="n"/>
      <c r="F1037" s="40" t="n"/>
      <c r="G1037" s="40" t="n"/>
      <c r="H1037" s="40" t="n"/>
      <c r="I1037" s="39" t="n"/>
      <c r="J1037" s="13">
        <f>IF(N(F1037)&gt;0,G1037/F1037,"")</f>
        <v/>
      </c>
      <c r="K1037" s="10">
        <f>IF(N(G1037)&gt;0,E1037/G1037,"")</f>
        <v/>
      </c>
      <c r="L1037" s="10">
        <f>IF(N(H1037)&gt;0,E1037/H1037,"")</f>
        <v/>
      </c>
      <c r="M1037" s="11">
        <f>IF(N(E1037)&gt;0,I1037/E1037,"")</f>
        <v/>
      </c>
      <c r="N1037" s="10">
        <f>IF(AND(E1037="",I1037=""),"",N(I1037)*(1-COM-COM_SHOP)-N(E1037)*(1+IMP_META))</f>
        <v/>
      </c>
      <c r="O1037" s="37" t="n"/>
    </row>
    <row r="1038">
      <c r="A1038" s="36" t="n"/>
      <c r="B1038" s="37" t="n"/>
      <c r="C1038" s="37" t="n"/>
      <c r="D1038" s="38">
        <f>IF(C1038="","",IFERROR(INDEX(Anuncios!$B$6:$B$65,MATCH(C1038,Anuncios!$A$6:$A$65,0)),"(no está en Anuncios)"))</f>
        <v/>
      </c>
      <c r="E1038" s="39" t="n"/>
      <c r="F1038" s="40" t="n"/>
      <c r="G1038" s="40" t="n"/>
      <c r="H1038" s="40" t="n"/>
      <c r="I1038" s="39" t="n"/>
      <c r="J1038" s="13">
        <f>IF(N(F1038)&gt;0,G1038/F1038,"")</f>
        <v/>
      </c>
      <c r="K1038" s="10">
        <f>IF(N(G1038)&gt;0,E1038/G1038,"")</f>
        <v/>
      </c>
      <c r="L1038" s="10">
        <f>IF(N(H1038)&gt;0,E1038/H1038,"")</f>
        <v/>
      </c>
      <c r="M1038" s="11">
        <f>IF(N(E1038)&gt;0,I1038/E1038,"")</f>
        <v/>
      </c>
      <c r="N1038" s="10">
        <f>IF(AND(E1038="",I1038=""),"",N(I1038)*(1-COM-COM_SHOP)-N(E1038)*(1+IMP_META))</f>
        <v/>
      </c>
      <c r="O1038" s="37" t="n"/>
    </row>
    <row r="1039">
      <c r="A1039" s="36" t="n"/>
      <c r="B1039" s="37" t="n"/>
      <c r="C1039" s="37" t="n"/>
      <c r="D1039" s="38">
        <f>IF(C1039="","",IFERROR(INDEX(Anuncios!$B$6:$B$65,MATCH(C1039,Anuncios!$A$6:$A$65,0)),"(no está en Anuncios)"))</f>
        <v/>
      </c>
      <c r="E1039" s="39" t="n"/>
      <c r="F1039" s="40" t="n"/>
      <c r="G1039" s="40" t="n"/>
      <c r="H1039" s="40" t="n"/>
      <c r="I1039" s="39" t="n"/>
      <c r="J1039" s="13">
        <f>IF(N(F1039)&gt;0,G1039/F1039,"")</f>
        <v/>
      </c>
      <c r="K1039" s="10">
        <f>IF(N(G1039)&gt;0,E1039/G1039,"")</f>
        <v/>
      </c>
      <c r="L1039" s="10">
        <f>IF(N(H1039)&gt;0,E1039/H1039,"")</f>
        <v/>
      </c>
      <c r="M1039" s="11">
        <f>IF(N(E1039)&gt;0,I1039/E1039,"")</f>
        <v/>
      </c>
      <c r="N1039" s="10">
        <f>IF(AND(E1039="",I1039=""),"",N(I1039)*(1-COM-COM_SHOP)-N(E1039)*(1+IMP_META))</f>
        <v/>
      </c>
      <c r="O1039" s="37" t="n"/>
    </row>
    <row r="1040">
      <c r="A1040" s="36" t="n"/>
      <c r="B1040" s="37" t="n"/>
      <c r="C1040" s="37" t="n"/>
      <c r="D1040" s="38">
        <f>IF(C1040="","",IFERROR(INDEX(Anuncios!$B$6:$B$65,MATCH(C1040,Anuncios!$A$6:$A$65,0)),"(no está en Anuncios)"))</f>
        <v/>
      </c>
      <c r="E1040" s="39" t="n"/>
      <c r="F1040" s="40" t="n"/>
      <c r="G1040" s="40" t="n"/>
      <c r="H1040" s="40" t="n"/>
      <c r="I1040" s="39" t="n"/>
      <c r="J1040" s="13">
        <f>IF(N(F1040)&gt;0,G1040/F1040,"")</f>
        <v/>
      </c>
      <c r="K1040" s="10">
        <f>IF(N(G1040)&gt;0,E1040/G1040,"")</f>
        <v/>
      </c>
      <c r="L1040" s="10">
        <f>IF(N(H1040)&gt;0,E1040/H1040,"")</f>
        <v/>
      </c>
      <c r="M1040" s="11">
        <f>IF(N(E1040)&gt;0,I1040/E1040,"")</f>
        <v/>
      </c>
      <c r="N1040" s="10">
        <f>IF(AND(E1040="",I1040=""),"",N(I1040)*(1-COM-COM_SHOP)-N(E1040)*(1+IMP_META))</f>
        <v/>
      </c>
      <c r="O1040" s="37" t="n"/>
    </row>
    <row r="1041">
      <c r="A1041" s="36" t="n"/>
      <c r="B1041" s="37" t="n"/>
      <c r="C1041" s="37" t="n"/>
      <c r="D1041" s="38">
        <f>IF(C1041="","",IFERROR(INDEX(Anuncios!$B$6:$B$65,MATCH(C1041,Anuncios!$A$6:$A$65,0)),"(no está en Anuncios)"))</f>
        <v/>
      </c>
      <c r="E1041" s="39" t="n"/>
      <c r="F1041" s="40" t="n"/>
      <c r="G1041" s="40" t="n"/>
      <c r="H1041" s="40" t="n"/>
      <c r="I1041" s="39" t="n"/>
      <c r="J1041" s="13">
        <f>IF(N(F1041)&gt;0,G1041/F1041,"")</f>
        <v/>
      </c>
      <c r="K1041" s="10">
        <f>IF(N(G1041)&gt;0,E1041/G1041,"")</f>
        <v/>
      </c>
      <c r="L1041" s="10">
        <f>IF(N(H1041)&gt;0,E1041/H1041,"")</f>
        <v/>
      </c>
      <c r="M1041" s="11">
        <f>IF(N(E1041)&gt;0,I1041/E1041,"")</f>
        <v/>
      </c>
      <c r="N1041" s="10">
        <f>IF(AND(E1041="",I1041=""),"",N(I1041)*(1-COM-COM_SHOP)-N(E1041)*(1+IMP_META))</f>
        <v/>
      </c>
      <c r="O1041" s="37" t="n"/>
    </row>
    <row r="1042">
      <c r="A1042" s="36" t="n"/>
      <c r="B1042" s="37" t="n"/>
      <c r="C1042" s="37" t="n"/>
      <c r="D1042" s="38">
        <f>IF(C1042="","",IFERROR(INDEX(Anuncios!$B$6:$B$65,MATCH(C1042,Anuncios!$A$6:$A$65,0)),"(no está en Anuncios)"))</f>
        <v/>
      </c>
      <c r="E1042" s="39" t="n"/>
      <c r="F1042" s="40" t="n"/>
      <c r="G1042" s="40" t="n"/>
      <c r="H1042" s="40" t="n"/>
      <c r="I1042" s="39" t="n"/>
      <c r="J1042" s="13">
        <f>IF(N(F1042)&gt;0,G1042/F1042,"")</f>
        <v/>
      </c>
      <c r="K1042" s="10">
        <f>IF(N(G1042)&gt;0,E1042/G1042,"")</f>
        <v/>
      </c>
      <c r="L1042" s="10">
        <f>IF(N(H1042)&gt;0,E1042/H1042,"")</f>
        <v/>
      </c>
      <c r="M1042" s="11">
        <f>IF(N(E1042)&gt;0,I1042/E1042,"")</f>
        <v/>
      </c>
      <c r="N1042" s="10">
        <f>IF(AND(E1042="",I1042=""),"",N(I1042)*(1-COM-COM_SHOP)-N(E1042)*(1+IMP_META))</f>
        <v/>
      </c>
      <c r="O1042" s="37" t="n"/>
    </row>
    <row r="1043">
      <c r="A1043" s="36" t="n"/>
      <c r="B1043" s="37" t="n"/>
      <c r="C1043" s="37" t="n"/>
      <c r="D1043" s="38">
        <f>IF(C1043="","",IFERROR(INDEX(Anuncios!$B$6:$B$65,MATCH(C1043,Anuncios!$A$6:$A$65,0)),"(no está en Anuncios)"))</f>
        <v/>
      </c>
      <c r="E1043" s="39" t="n"/>
      <c r="F1043" s="40" t="n"/>
      <c r="G1043" s="40" t="n"/>
      <c r="H1043" s="40" t="n"/>
      <c r="I1043" s="39" t="n"/>
      <c r="J1043" s="13">
        <f>IF(N(F1043)&gt;0,G1043/F1043,"")</f>
        <v/>
      </c>
      <c r="K1043" s="10">
        <f>IF(N(G1043)&gt;0,E1043/G1043,"")</f>
        <v/>
      </c>
      <c r="L1043" s="10">
        <f>IF(N(H1043)&gt;0,E1043/H1043,"")</f>
        <v/>
      </c>
      <c r="M1043" s="11">
        <f>IF(N(E1043)&gt;0,I1043/E1043,"")</f>
        <v/>
      </c>
      <c r="N1043" s="10">
        <f>IF(AND(E1043="",I1043=""),"",N(I1043)*(1-COM-COM_SHOP)-N(E1043)*(1+IMP_META))</f>
        <v/>
      </c>
      <c r="O1043" s="37" t="n"/>
    </row>
    <row r="1044">
      <c r="A1044" s="36" t="n"/>
      <c r="B1044" s="37" t="n"/>
      <c r="C1044" s="37" t="n"/>
      <c r="D1044" s="38">
        <f>IF(C1044="","",IFERROR(INDEX(Anuncios!$B$6:$B$65,MATCH(C1044,Anuncios!$A$6:$A$65,0)),"(no está en Anuncios)"))</f>
        <v/>
      </c>
      <c r="E1044" s="39" t="n"/>
      <c r="F1044" s="40" t="n"/>
      <c r="G1044" s="40" t="n"/>
      <c r="H1044" s="40" t="n"/>
      <c r="I1044" s="39" t="n"/>
      <c r="J1044" s="13">
        <f>IF(N(F1044)&gt;0,G1044/F1044,"")</f>
        <v/>
      </c>
      <c r="K1044" s="10">
        <f>IF(N(G1044)&gt;0,E1044/G1044,"")</f>
        <v/>
      </c>
      <c r="L1044" s="10">
        <f>IF(N(H1044)&gt;0,E1044/H1044,"")</f>
        <v/>
      </c>
      <c r="M1044" s="11">
        <f>IF(N(E1044)&gt;0,I1044/E1044,"")</f>
        <v/>
      </c>
      <c r="N1044" s="10">
        <f>IF(AND(E1044="",I1044=""),"",N(I1044)*(1-COM-COM_SHOP)-N(E1044)*(1+IMP_META))</f>
        <v/>
      </c>
      <c r="O1044" s="37" t="n"/>
    </row>
    <row r="1045">
      <c r="A1045" s="36" t="n"/>
      <c r="B1045" s="37" t="n"/>
      <c r="C1045" s="37" t="n"/>
      <c r="D1045" s="38">
        <f>IF(C1045="","",IFERROR(INDEX(Anuncios!$B$6:$B$65,MATCH(C1045,Anuncios!$A$6:$A$65,0)),"(no está en Anuncios)"))</f>
        <v/>
      </c>
      <c r="E1045" s="39" t="n"/>
      <c r="F1045" s="40" t="n"/>
      <c r="G1045" s="40" t="n"/>
      <c r="H1045" s="40" t="n"/>
      <c r="I1045" s="39" t="n"/>
      <c r="J1045" s="13">
        <f>IF(N(F1045)&gt;0,G1045/F1045,"")</f>
        <v/>
      </c>
      <c r="K1045" s="10">
        <f>IF(N(G1045)&gt;0,E1045/G1045,"")</f>
        <v/>
      </c>
      <c r="L1045" s="10">
        <f>IF(N(H1045)&gt;0,E1045/H1045,"")</f>
        <v/>
      </c>
      <c r="M1045" s="11">
        <f>IF(N(E1045)&gt;0,I1045/E1045,"")</f>
        <v/>
      </c>
      <c r="N1045" s="10">
        <f>IF(AND(E1045="",I1045=""),"",N(I1045)*(1-COM-COM_SHOP)-N(E1045)*(1+IMP_META))</f>
        <v/>
      </c>
      <c r="O1045" s="37" t="n"/>
    </row>
    <row r="1046">
      <c r="A1046" s="36" t="n"/>
      <c r="B1046" s="37" t="n"/>
      <c r="C1046" s="37" t="n"/>
      <c r="D1046" s="38">
        <f>IF(C1046="","",IFERROR(INDEX(Anuncios!$B$6:$B$65,MATCH(C1046,Anuncios!$A$6:$A$65,0)),"(no está en Anuncios)"))</f>
        <v/>
      </c>
      <c r="E1046" s="39" t="n"/>
      <c r="F1046" s="40" t="n"/>
      <c r="G1046" s="40" t="n"/>
      <c r="H1046" s="40" t="n"/>
      <c r="I1046" s="39" t="n"/>
      <c r="J1046" s="13">
        <f>IF(N(F1046)&gt;0,G1046/F1046,"")</f>
        <v/>
      </c>
      <c r="K1046" s="10">
        <f>IF(N(G1046)&gt;0,E1046/G1046,"")</f>
        <v/>
      </c>
      <c r="L1046" s="10">
        <f>IF(N(H1046)&gt;0,E1046/H1046,"")</f>
        <v/>
      </c>
      <c r="M1046" s="11">
        <f>IF(N(E1046)&gt;0,I1046/E1046,"")</f>
        <v/>
      </c>
      <c r="N1046" s="10">
        <f>IF(AND(E1046="",I1046=""),"",N(I1046)*(1-COM-COM_SHOP)-N(E1046)*(1+IMP_META))</f>
        <v/>
      </c>
      <c r="O1046" s="37" t="n"/>
    </row>
    <row r="1047">
      <c r="A1047" s="36" t="n"/>
      <c r="B1047" s="37" t="n"/>
      <c r="C1047" s="37" t="n"/>
      <c r="D1047" s="38">
        <f>IF(C1047="","",IFERROR(INDEX(Anuncios!$B$6:$B$65,MATCH(C1047,Anuncios!$A$6:$A$65,0)),"(no está en Anuncios)"))</f>
        <v/>
      </c>
      <c r="E1047" s="39" t="n"/>
      <c r="F1047" s="40" t="n"/>
      <c r="G1047" s="40" t="n"/>
      <c r="H1047" s="40" t="n"/>
      <c r="I1047" s="39" t="n"/>
      <c r="J1047" s="13">
        <f>IF(N(F1047)&gt;0,G1047/F1047,"")</f>
        <v/>
      </c>
      <c r="K1047" s="10">
        <f>IF(N(G1047)&gt;0,E1047/G1047,"")</f>
        <v/>
      </c>
      <c r="L1047" s="10">
        <f>IF(N(H1047)&gt;0,E1047/H1047,"")</f>
        <v/>
      </c>
      <c r="M1047" s="11">
        <f>IF(N(E1047)&gt;0,I1047/E1047,"")</f>
        <v/>
      </c>
      <c r="N1047" s="10">
        <f>IF(AND(E1047="",I1047=""),"",N(I1047)*(1-COM-COM_SHOP)-N(E1047)*(1+IMP_META))</f>
        <v/>
      </c>
      <c r="O1047" s="37" t="n"/>
    </row>
    <row r="1048">
      <c r="A1048" s="36" t="n"/>
      <c r="B1048" s="37" t="n"/>
      <c r="C1048" s="37" t="n"/>
      <c r="D1048" s="38">
        <f>IF(C1048="","",IFERROR(INDEX(Anuncios!$B$6:$B$65,MATCH(C1048,Anuncios!$A$6:$A$65,0)),"(no está en Anuncios)"))</f>
        <v/>
      </c>
      <c r="E1048" s="39" t="n"/>
      <c r="F1048" s="40" t="n"/>
      <c r="G1048" s="40" t="n"/>
      <c r="H1048" s="40" t="n"/>
      <c r="I1048" s="39" t="n"/>
      <c r="J1048" s="13">
        <f>IF(N(F1048)&gt;0,G1048/F1048,"")</f>
        <v/>
      </c>
      <c r="K1048" s="10">
        <f>IF(N(G1048)&gt;0,E1048/G1048,"")</f>
        <v/>
      </c>
      <c r="L1048" s="10">
        <f>IF(N(H1048)&gt;0,E1048/H1048,"")</f>
        <v/>
      </c>
      <c r="M1048" s="11">
        <f>IF(N(E1048)&gt;0,I1048/E1048,"")</f>
        <v/>
      </c>
      <c r="N1048" s="10">
        <f>IF(AND(E1048="",I1048=""),"",N(I1048)*(1-COM-COM_SHOP)-N(E1048)*(1+IMP_META))</f>
        <v/>
      </c>
      <c r="O1048" s="37" t="n"/>
    </row>
    <row r="1049">
      <c r="A1049" s="36" t="n"/>
      <c r="B1049" s="37" t="n"/>
      <c r="C1049" s="37" t="n"/>
      <c r="D1049" s="38">
        <f>IF(C1049="","",IFERROR(INDEX(Anuncios!$B$6:$B$65,MATCH(C1049,Anuncios!$A$6:$A$65,0)),"(no está en Anuncios)"))</f>
        <v/>
      </c>
      <c r="E1049" s="39" t="n"/>
      <c r="F1049" s="40" t="n"/>
      <c r="G1049" s="40" t="n"/>
      <c r="H1049" s="40" t="n"/>
      <c r="I1049" s="39" t="n"/>
      <c r="J1049" s="13">
        <f>IF(N(F1049)&gt;0,G1049/F1049,"")</f>
        <v/>
      </c>
      <c r="K1049" s="10">
        <f>IF(N(G1049)&gt;0,E1049/G1049,"")</f>
        <v/>
      </c>
      <c r="L1049" s="10">
        <f>IF(N(H1049)&gt;0,E1049/H1049,"")</f>
        <v/>
      </c>
      <c r="M1049" s="11">
        <f>IF(N(E1049)&gt;0,I1049/E1049,"")</f>
        <v/>
      </c>
      <c r="N1049" s="10">
        <f>IF(AND(E1049="",I1049=""),"",N(I1049)*(1-COM-COM_SHOP)-N(E1049)*(1+IMP_META))</f>
        <v/>
      </c>
      <c r="O1049" s="37" t="n"/>
    </row>
    <row r="1050">
      <c r="A1050" s="36" t="n"/>
      <c r="B1050" s="37" t="n"/>
      <c r="C1050" s="37" t="n"/>
      <c r="D1050" s="38">
        <f>IF(C1050="","",IFERROR(INDEX(Anuncios!$B$6:$B$65,MATCH(C1050,Anuncios!$A$6:$A$65,0)),"(no está en Anuncios)"))</f>
        <v/>
      </c>
      <c r="E1050" s="39" t="n"/>
      <c r="F1050" s="40" t="n"/>
      <c r="G1050" s="40" t="n"/>
      <c r="H1050" s="40" t="n"/>
      <c r="I1050" s="39" t="n"/>
      <c r="J1050" s="13">
        <f>IF(N(F1050)&gt;0,G1050/F1050,"")</f>
        <v/>
      </c>
      <c r="K1050" s="10">
        <f>IF(N(G1050)&gt;0,E1050/G1050,"")</f>
        <v/>
      </c>
      <c r="L1050" s="10">
        <f>IF(N(H1050)&gt;0,E1050/H1050,"")</f>
        <v/>
      </c>
      <c r="M1050" s="11">
        <f>IF(N(E1050)&gt;0,I1050/E1050,"")</f>
        <v/>
      </c>
      <c r="N1050" s="10">
        <f>IF(AND(E1050="",I1050=""),"",N(I1050)*(1-COM-COM_SHOP)-N(E1050)*(1+IMP_META))</f>
        <v/>
      </c>
      <c r="O1050" s="37" t="n"/>
    </row>
    <row r="1051">
      <c r="A1051" s="36" t="n"/>
      <c r="B1051" s="37" t="n"/>
      <c r="C1051" s="37" t="n"/>
      <c r="D1051" s="38">
        <f>IF(C1051="","",IFERROR(INDEX(Anuncios!$B$6:$B$65,MATCH(C1051,Anuncios!$A$6:$A$65,0)),"(no está en Anuncios)"))</f>
        <v/>
      </c>
      <c r="E1051" s="39" t="n"/>
      <c r="F1051" s="40" t="n"/>
      <c r="G1051" s="40" t="n"/>
      <c r="H1051" s="40" t="n"/>
      <c r="I1051" s="39" t="n"/>
      <c r="J1051" s="13">
        <f>IF(N(F1051)&gt;0,G1051/F1051,"")</f>
        <v/>
      </c>
      <c r="K1051" s="10">
        <f>IF(N(G1051)&gt;0,E1051/G1051,"")</f>
        <v/>
      </c>
      <c r="L1051" s="10">
        <f>IF(N(H1051)&gt;0,E1051/H1051,"")</f>
        <v/>
      </c>
      <c r="M1051" s="11">
        <f>IF(N(E1051)&gt;0,I1051/E1051,"")</f>
        <v/>
      </c>
      <c r="N1051" s="10">
        <f>IF(AND(E1051="",I1051=""),"",N(I1051)*(1-COM-COM_SHOP)-N(E1051)*(1+IMP_META))</f>
        <v/>
      </c>
      <c r="O1051" s="37" t="n"/>
    </row>
    <row r="1052">
      <c r="A1052" s="36" t="n"/>
      <c r="B1052" s="37" t="n"/>
      <c r="C1052" s="37" t="n"/>
      <c r="D1052" s="38">
        <f>IF(C1052="","",IFERROR(INDEX(Anuncios!$B$6:$B$65,MATCH(C1052,Anuncios!$A$6:$A$65,0)),"(no está en Anuncios)"))</f>
        <v/>
      </c>
      <c r="E1052" s="39" t="n"/>
      <c r="F1052" s="40" t="n"/>
      <c r="G1052" s="40" t="n"/>
      <c r="H1052" s="40" t="n"/>
      <c r="I1052" s="39" t="n"/>
      <c r="J1052" s="13">
        <f>IF(N(F1052)&gt;0,G1052/F1052,"")</f>
        <v/>
      </c>
      <c r="K1052" s="10">
        <f>IF(N(G1052)&gt;0,E1052/G1052,"")</f>
        <v/>
      </c>
      <c r="L1052" s="10">
        <f>IF(N(H1052)&gt;0,E1052/H1052,"")</f>
        <v/>
      </c>
      <c r="M1052" s="11">
        <f>IF(N(E1052)&gt;0,I1052/E1052,"")</f>
        <v/>
      </c>
      <c r="N1052" s="10">
        <f>IF(AND(E1052="",I1052=""),"",N(I1052)*(1-COM-COM_SHOP)-N(E1052)*(1+IMP_META))</f>
        <v/>
      </c>
      <c r="O1052" s="37" t="n"/>
    </row>
    <row r="1053">
      <c r="A1053" s="36" t="n"/>
      <c r="B1053" s="37" t="n"/>
      <c r="C1053" s="37" t="n"/>
      <c r="D1053" s="38">
        <f>IF(C1053="","",IFERROR(INDEX(Anuncios!$B$6:$B$65,MATCH(C1053,Anuncios!$A$6:$A$65,0)),"(no está en Anuncios)"))</f>
        <v/>
      </c>
      <c r="E1053" s="39" t="n"/>
      <c r="F1053" s="40" t="n"/>
      <c r="G1053" s="40" t="n"/>
      <c r="H1053" s="40" t="n"/>
      <c r="I1053" s="39" t="n"/>
      <c r="J1053" s="13">
        <f>IF(N(F1053)&gt;0,G1053/F1053,"")</f>
        <v/>
      </c>
      <c r="K1053" s="10">
        <f>IF(N(G1053)&gt;0,E1053/G1053,"")</f>
        <v/>
      </c>
      <c r="L1053" s="10">
        <f>IF(N(H1053)&gt;0,E1053/H1053,"")</f>
        <v/>
      </c>
      <c r="M1053" s="11">
        <f>IF(N(E1053)&gt;0,I1053/E1053,"")</f>
        <v/>
      </c>
      <c r="N1053" s="10">
        <f>IF(AND(E1053="",I1053=""),"",N(I1053)*(1-COM-COM_SHOP)-N(E1053)*(1+IMP_META))</f>
        <v/>
      </c>
      <c r="O1053" s="37" t="n"/>
    </row>
    <row r="1054">
      <c r="A1054" s="36" t="n"/>
      <c r="B1054" s="37" t="n"/>
      <c r="C1054" s="37" t="n"/>
      <c r="D1054" s="38">
        <f>IF(C1054="","",IFERROR(INDEX(Anuncios!$B$6:$B$65,MATCH(C1054,Anuncios!$A$6:$A$65,0)),"(no está en Anuncios)"))</f>
        <v/>
      </c>
      <c r="E1054" s="39" t="n"/>
      <c r="F1054" s="40" t="n"/>
      <c r="G1054" s="40" t="n"/>
      <c r="H1054" s="40" t="n"/>
      <c r="I1054" s="39" t="n"/>
      <c r="J1054" s="13">
        <f>IF(N(F1054)&gt;0,G1054/F1054,"")</f>
        <v/>
      </c>
      <c r="K1054" s="10">
        <f>IF(N(G1054)&gt;0,E1054/G1054,"")</f>
        <v/>
      </c>
      <c r="L1054" s="10">
        <f>IF(N(H1054)&gt;0,E1054/H1054,"")</f>
        <v/>
      </c>
      <c r="M1054" s="11">
        <f>IF(N(E1054)&gt;0,I1054/E1054,"")</f>
        <v/>
      </c>
      <c r="N1054" s="10">
        <f>IF(AND(E1054="",I1054=""),"",N(I1054)*(1-COM-COM_SHOP)-N(E1054)*(1+IMP_META))</f>
        <v/>
      </c>
      <c r="O1054" s="37" t="n"/>
    </row>
    <row r="1055">
      <c r="A1055" s="36" t="n"/>
      <c r="B1055" s="37" t="n"/>
      <c r="C1055" s="37" t="n"/>
      <c r="D1055" s="38">
        <f>IF(C1055="","",IFERROR(INDEX(Anuncios!$B$6:$B$65,MATCH(C1055,Anuncios!$A$6:$A$65,0)),"(no está en Anuncios)"))</f>
        <v/>
      </c>
      <c r="E1055" s="39" t="n"/>
      <c r="F1055" s="40" t="n"/>
      <c r="G1055" s="40" t="n"/>
      <c r="H1055" s="40" t="n"/>
      <c r="I1055" s="39" t="n"/>
      <c r="J1055" s="13">
        <f>IF(N(F1055)&gt;0,G1055/F1055,"")</f>
        <v/>
      </c>
      <c r="K1055" s="10">
        <f>IF(N(G1055)&gt;0,E1055/G1055,"")</f>
        <v/>
      </c>
      <c r="L1055" s="10">
        <f>IF(N(H1055)&gt;0,E1055/H1055,"")</f>
        <v/>
      </c>
      <c r="M1055" s="11">
        <f>IF(N(E1055)&gt;0,I1055/E1055,"")</f>
        <v/>
      </c>
      <c r="N1055" s="10">
        <f>IF(AND(E1055="",I1055=""),"",N(I1055)*(1-COM-COM_SHOP)-N(E1055)*(1+IMP_META))</f>
        <v/>
      </c>
      <c r="O1055" s="37" t="n"/>
    </row>
    <row r="1056">
      <c r="A1056" s="36" t="n"/>
      <c r="B1056" s="37" t="n"/>
      <c r="C1056" s="37" t="n"/>
      <c r="D1056" s="38">
        <f>IF(C1056="","",IFERROR(INDEX(Anuncios!$B$6:$B$65,MATCH(C1056,Anuncios!$A$6:$A$65,0)),"(no está en Anuncios)"))</f>
        <v/>
      </c>
      <c r="E1056" s="39" t="n"/>
      <c r="F1056" s="40" t="n"/>
      <c r="G1056" s="40" t="n"/>
      <c r="H1056" s="40" t="n"/>
      <c r="I1056" s="39" t="n"/>
      <c r="J1056" s="13">
        <f>IF(N(F1056)&gt;0,G1056/F1056,"")</f>
        <v/>
      </c>
      <c r="K1056" s="10">
        <f>IF(N(G1056)&gt;0,E1056/G1056,"")</f>
        <v/>
      </c>
      <c r="L1056" s="10">
        <f>IF(N(H1056)&gt;0,E1056/H1056,"")</f>
        <v/>
      </c>
      <c r="M1056" s="11">
        <f>IF(N(E1056)&gt;0,I1056/E1056,"")</f>
        <v/>
      </c>
      <c r="N1056" s="10">
        <f>IF(AND(E1056="",I1056=""),"",N(I1056)*(1-COM-COM_SHOP)-N(E1056)*(1+IMP_META))</f>
        <v/>
      </c>
      <c r="O1056" s="37" t="n"/>
    </row>
    <row r="1057">
      <c r="A1057" s="36" t="n"/>
      <c r="B1057" s="37" t="n"/>
      <c r="C1057" s="37" t="n"/>
      <c r="D1057" s="38">
        <f>IF(C1057="","",IFERROR(INDEX(Anuncios!$B$6:$B$65,MATCH(C1057,Anuncios!$A$6:$A$65,0)),"(no está en Anuncios)"))</f>
        <v/>
      </c>
      <c r="E1057" s="39" t="n"/>
      <c r="F1057" s="40" t="n"/>
      <c r="G1057" s="40" t="n"/>
      <c r="H1057" s="40" t="n"/>
      <c r="I1057" s="39" t="n"/>
      <c r="J1057" s="13">
        <f>IF(N(F1057)&gt;0,G1057/F1057,"")</f>
        <v/>
      </c>
      <c r="K1057" s="10">
        <f>IF(N(G1057)&gt;0,E1057/G1057,"")</f>
        <v/>
      </c>
      <c r="L1057" s="10">
        <f>IF(N(H1057)&gt;0,E1057/H1057,"")</f>
        <v/>
      </c>
      <c r="M1057" s="11">
        <f>IF(N(E1057)&gt;0,I1057/E1057,"")</f>
        <v/>
      </c>
      <c r="N1057" s="10">
        <f>IF(AND(E1057="",I1057=""),"",N(I1057)*(1-COM-COM_SHOP)-N(E1057)*(1+IMP_META))</f>
        <v/>
      </c>
      <c r="O1057" s="37" t="n"/>
    </row>
    <row r="1058">
      <c r="A1058" s="36" t="n"/>
      <c r="B1058" s="37" t="n"/>
      <c r="C1058" s="37" t="n"/>
      <c r="D1058" s="38">
        <f>IF(C1058="","",IFERROR(INDEX(Anuncios!$B$6:$B$65,MATCH(C1058,Anuncios!$A$6:$A$65,0)),"(no está en Anuncios)"))</f>
        <v/>
      </c>
      <c r="E1058" s="39" t="n"/>
      <c r="F1058" s="40" t="n"/>
      <c r="G1058" s="40" t="n"/>
      <c r="H1058" s="40" t="n"/>
      <c r="I1058" s="39" t="n"/>
      <c r="J1058" s="13">
        <f>IF(N(F1058)&gt;0,G1058/F1058,"")</f>
        <v/>
      </c>
      <c r="K1058" s="10">
        <f>IF(N(G1058)&gt;0,E1058/G1058,"")</f>
        <v/>
      </c>
      <c r="L1058" s="10">
        <f>IF(N(H1058)&gt;0,E1058/H1058,"")</f>
        <v/>
      </c>
      <c r="M1058" s="11">
        <f>IF(N(E1058)&gt;0,I1058/E1058,"")</f>
        <v/>
      </c>
      <c r="N1058" s="10">
        <f>IF(AND(E1058="",I1058=""),"",N(I1058)*(1-COM-COM_SHOP)-N(E1058)*(1+IMP_META))</f>
        <v/>
      </c>
      <c r="O1058" s="37" t="n"/>
    </row>
    <row r="1059">
      <c r="A1059" s="36" t="n"/>
      <c r="B1059" s="37" t="n"/>
      <c r="C1059" s="37" t="n"/>
      <c r="D1059" s="38">
        <f>IF(C1059="","",IFERROR(INDEX(Anuncios!$B$6:$B$65,MATCH(C1059,Anuncios!$A$6:$A$65,0)),"(no está en Anuncios)"))</f>
        <v/>
      </c>
      <c r="E1059" s="39" t="n"/>
      <c r="F1059" s="40" t="n"/>
      <c r="G1059" s="40" t="n"/>
      <c r="H1059" s="40" t="n"/>
      <c r="I1059" s="39" t="n"/>
      <c r="J1059" s="13">
        <f>IF(N(F1059)&gt;0,G1059/F1059,"")</f>
        <v/>
      </c>
      <c r="K1059" s="10">
        <f>IF(N(G1059)&gt;0,E1059/G1059,"")</f>
        <v/>
      </c>
      <c r="L1059" s="10">
        <f>IF(N(H1059)&gt;0,E1059/H1059,"")</f>
        <v/>
      </c>
      <c r="M1059" s="11">
        <f>IF(N(E1059)&gt;0,I1059/E1059,"")</f>
        <v/>
      </c>
      <c r="N1059" s="10">
        <f>IF(AND(E1059="",I1059=""),"",N(I1059)*(1-COM-COM_SHOP)-N(E1059)*(1+IMP_META))</f>
        <v/>
      </c>
      <c r="O1059" s="37" t="n"/>
    </row>
    <row r="1060">
      <c r="A1060" s="36" t="n"/>
      <c r="B1060" s="37" t="n"/>
      <c r="C1060" s="37" t="n"/>
      <c r="D1060" s="38">
        <f>IF(C1060="","",IFERROR(INDEX(Anuncios!$B$6:$B$65,MATCH(C1060,Anuncios!$A$6:$A$65,0)),"(no está en Anuncios)"))</f>
        <v/>
      </c>
      <c r="E1060" s="39" t="n"/>
      <c r="F1060" s="40" t="n"/>
      <c r="G1060" s="40" t="n"/>
      <c r="H1060" s="40" t="n"/>
      <c r="I1060" s="39" t="n"/>
      <c r="J1060" s="13">
        <f>IF(N(F1060)&gt;0,G1060/F1060,"")</f>
        <v/>
      </c>
      <c r="K1060" s="10">
        <f>IF(N(G1060)&gt;0,E1060/G1060,"")</f>
        <v/>
      </c>
      <c r="L1060" s="10">
        <f>IF(N(H1060)&gt;0,E1060/H1060,"")</f>
        <v/>
      </c>
      <c r="M1060" s="11">
        <f>IF(N(E1060)&gt;0,I1060/E1060,"")</f>
        <v/>
      </c>
      <c r="N1060" s="10">
        <f>IF(AND(E1060="",I1060=""),"",N(I1060)*(1-COM-COM_SHOP)-N(E1060)*(1+IMP_META))</f>
        <v/>
      </c>
      <c r="O1060" s="37" t="n"/>
    </row>
    <row r="1061">
      <c r="A1061" s="36" t="n"/>
      <c r="B1061" s="37" t="n"/>
      <c r="C1061" s="37" t="n"/>
      <c r="D1061" s="38">
        <f>IF(C1061="","",IFERROR(INDEX(Anuncios!$B$6:$B$65,MATCH(C1061,Anuncios!$A$6:$A$65,0)),"(no está en Anuncios)"))</f>
        <v/>
      </c>
      <c r="E1061" s="39" t="n"/>
      <c r="F1061" s="40" t="n"/>
      <c r="G1061" s="40" t="n"/>
      <c r="H1061" s="40" t="n"/>
      <c r="I1061" s="39" t="n"/>
      <c r="J1061" s="13">
        <f>IF(N(F1061)&gt;0,G1061/F1061,"")</f>
        <v/>
      </c>
      <c r="K1061" s="10">
        <f>IF(N(G1061)&gt;0,E1061/G1061,"")</f>
        <v/>
      </c>
      <c r="L1061" s="10">
        <f>IF(N(H1061)&gt;0,E1061/H1061,"")</f>
        <v/>
      </c>
      <c r="M1061" s="11">
        <f>IF(N(E1061)&gt;0,I1061/E1061,"")</f>
        <v/>
      </c>
      <c r="N1061" s="10">
        <f>IF(AND(E1061="",I1061=""),"",N(I1061)*(1-COM-COM_SHOP)-N(E1061)*(1+IMP_META))</f>
        <v/>
      </c>
      <c r="O1061" s="37" t="n"/>
    </row>
    <row r="1062">
      <c r="A1062" s="36" t="n"/>
      <c r="B1062" s="37" t="n"/>
      <c r="C1062" s="37" t="n"/>
      <c r="D1062" s="38">
        <f>IF(C1062="","",IFERROR(INDEX(Anuncios!$B$6:$B$65,MATCH(C1062,Anuncios!$A$6:$A$65,0)),"(no está en Anuncios)"))</f>
        <v/>
      </c>
      <c r="E1062" s="39" t="n"/>
      <c r="F1062" s="40" t="n"/>
      <c r="G1062" s="40" t="n"/>
      <c r="H1062" s="40" t="n"/>
      <c r="I1062" s="39" t="n"/>
      <c r="J1062" s="13">
        <f>IF(N(F1062)&gt;0,G1062/F1062,"")</f>
        <v/>
      </c>
      <c r="K1062" s="10">
        <f>IF(N(G1062)&gt;0,E1062/G1062,"")</f>
        <v/>
      </c>
      <c r="L1062" s="10">
        <f>IF(N(H1062)&gt;0,E1062/H1062,"")</f>
        <v/>
      </c>
      <c r="M1062" s="11">
        <f>IF(N(E1062)&gt;0,I1062/E1062,"")</f>
        <v/>
      </c>
      <c r="N1062" s="10">
        <f>IF(AND(E1062="",I1062=""),"",N(I1062)*(1-COM-COM_SHOP)-N(E1062)*(1+IMP_META))</f>
        <v/>
      </c>
      <c r="O1062" s="37" t="n"/>
    </row>
    <row r="1063">
      <c r="A1063" s="36" t="n"/>
      <c r="B1063" s="37" t="n"/>
      <c r="C1063" s="37" t="n"/>
      <c r="D1063" s="38">
        <f>IF(C1063="","",IFERROR(INDEX(Anuncios!$B$6:$B$65,MATCH(C1063,Anuncios!$A$6:$A$65,0)),"(no está en Anuncios)"))</f>
        <v/>
      </c>
      <c r="E1063" s="39" t="n"/>
      <c r="F1063" s="40" t="n"/>
      <c r="G1063" s="40" t="n"/>
      <c r="H1063" s="40" t="n"/>
      <c r="I1063" s="39" t="n"/>
      <c r="J1063" s="13">
        <f>IF(N(F1063)&gt;0,G1063/F1063,"")</f>
        <v/>
      </c>
      <c r="K1063" s="10">
        <f>IF(N(G1063)&gt;0,E1063/G1063,"")</f>
        <v/>
      </c>
      <c r="L1063" s="10">
        <f>IF(N(H1063)&gt;0,E1063/H1063,"")</f>
        <v/>
      </c>
      <c r="M1063" s="11">
        <f>IF(N(E1063)&gt;0,I1063/E1063,"")</f>
        <v/>
      </c>
      <c r="N1063" s="10">
        <f>IF(AND(E1063="",I1063=""),"",N(I1063)*(1-COM-COM_SHOP)-N(E1063)*(1+IMP_META))</f>
        <v/>
      </c>
      <c r="O1063" s="37" t="n"/>
    </row>
    <row r="1064">
      <c r="A1064" s="36" t="n"/>
      <c r="B1064" s="37" t="n"/>
      <c r="C1064" s="37" t="n"/>
      <c r="D1064" s="38">
        <f>IF(C1064="","",IFERROR(INDEX(Anuncios!$B$6:$B$65,MATCH(C1064,Anuncios!$A$6:$A$65,0)),"(no está en Anuncios)"))</f>
        <v/>
      </c>
      <c r="E1064" s="39" t="n"/>
      <c r="F1064" s="40" t="n"/>
      <c r="G1064" s="40" t="n"/>
      <c r="H1064" s="40" t="n"/>
      <c r="I1064" s="39" t="n"/>
      <c r="J1064" s="13">
        <f>IF(N(F1064)&gt;0,G1064/F1064,"")</f>
        <v/>
      </c>
      <c r="K1064" s="10">
        <f>IF(N(G1064)&gt;0,E1064/G1064,"")</f>
        <v/>
      </c>
      <c r="L1064" s="10">
        <f>IF(N(H1064)&gt;0,E1064/H1064,"")</f>
        <v/>
      </c>
      <c r="M1064" s="11">
        <f>IF(N(E1064)&gt;0,I1064/E1064,"")</f>
        <v/>
      </c>
      <c r="N1064" s="10">
        <f>IF(AND(E1064="",I1064=""),"",N(I1064)*(1-COM-COM_SHOP)-N(E1064)*(1+IMP_META))</f>
        <v/>
      </c>
      <c r="O1064" s="37" t="n"/>
    </row>
    <row r="1065">
      <c r="A1065" s="36" t="n"/>
      <c r="B1065" s="37" t="n"/>
      <c r="C1065" s="37" t="n"/>
      <c r="D1065" s="38">
        <f>IF(C1065="","",IFERROR(INDEX(Anuncios!$B$6:$B$65,MATCH(C1065,Anuncios!$A$6:$A$65,0)),"(no está en Anuncios)"))</f>
        <v/>
      </c>
      <c r="E1065" s="39" t="n"/>
      <c r="F1065" s="40" t="n"/>
      <c r="G1065" s="40" t="n"/>
      <c r="H1065" s="40" t="n"/>
      <c r="I1065" s="39" t="n"/>
      <c r="J1065" s="13">
        <f>IF(N(F1065)&gt;0,G1065/F1065,"")</f>
        <v/>
      </c>
      <c r="K1065" s="10">
        <f>IF(N(G1065)&gt;0,E1065/G1065,"")</f>
        <v/>
      </c>
      <c r="L1065" s="10">
        <f>IF(N(H1065)&gt;0,E1065/H1065,"")</f>
        <v/>
      </c>
      <c r="M1065" s="11">
        <f>IF(N(E1065)&gt;0,I1065/E1065,"")</f>
        <v/>
      </c>
      <c r="N1065" s="10">
        <f>IF(AND(E1065="",I1065=""),"",N(I1065)*(1-COM-COM_SHOP)-N(E1065)*(1+IMP_META))</f>
        <v/>
      </c>
      <c r="O1065" s="37" t="n"/>
    </row>
    <row r="1066">
      <c r="A1066" s="36" t="n"/>
      <c r="B1066" s="37" t="n"/>
      <c r="C1066" s="37" t="n"/>
      <c r="D1066" s="38">
        <f>IF(C1066="","",IFERROR(INDEX(Anuncios!$B$6:$B$65,MATCH(C1066,Anuncios!$A$6:$A$65,0)),"(no está en Anuncios)"))</f>
        <v/>
      </c>
      <c r="E1066" s="39" t="n"/>
      <c r="F1066" s="40" t="n"/>
      <c r="G1066" s="40" t="n"/>
      <c r="H1066" s="40" t="n"/>
      <c r="I1066" s="39" t="n"/>
      <c r="J1066" s="13">
        <f>IF(N(F1066)&gt;0,G1066/F1066,"")</f>
        <v/>
      </c>
      <c r="K1066" s="10">
        <f>IF(N(G1066)&gt;0,E1066/G1066,"")</f>
        <v/>
      </c>
      <c r="L1066" s="10">
        <f>IF(N(H1066)&gt;0,E1066/H1066,"")</f>
        <v/>
      </c>
      <c r="M1066" s="11">
        <f>IF(N(E1066)&gt;0,I1066/E1066,"")</f>
        <v/>
      </c>
      <c r="N1066" s="10">
        <f>IF(AND(E1066="",I1066=""),"",N(I1066)*(1-COM-COM_SHOP)-N(E1066)*(1+IMP_META))</f>
        <v/>
      </c>
      <c r="O1066" s="37" t="n"/>
    </row>
    <row r="1067">
      <c r="A1067" s="36" t="n"/>
      <c r="B1067" s="37" t="n"/>
      <c r="C1067" s="37" t="n"/>
      <c r="D1067" s="38">
        <f>IF(C1067="","",IFERROR(INDEX(Anuncios!$B$6:$B$65,MATCH(C1067,Anuncios!$A$6:$A$65,0)),"(no está en Anuncios)"))</f>
        <v/>
      </c>
      <c r="E1067" s="39" t="n"/>
      <c r="F1067" s="40" t="n"/>
      <c r="G1067" s="40" t="n"/>
      <c r="H1067" s="40" t="n"/>
      <c r="I1067" s="39" t="n"/>
      <c r="J1067" s="13">
        <f>IF(N(F1067)&gt;0,G1067/F1067,"")</f>
        <v/>
      </c>
      <c r="K1067" s="10">
        <f>IF(N(G1067)&gt;0,E1067/G1067,"")</f>
        <v/>
      </c>
      <c r="L1067" s="10">
        <f>IF(N(H1067)&gt;0,E1067/H1067,"")</f>
        <v/>
      </c>
      <c r="M1067" s="11">
        <f>IF(N(E1067)&gt;0,I1067/E1067,"")</f>
        <v/>
      </c>
      <c r="N1067" s="10">
        <f>IF(AND(E1067="",I1067=""),"",N(I1067)*(1-COM-COM_SHOP)-N(E1067)*(1+IMP_META))</f>
        <v/>
      </c>
      <c r="O1067" s="37" t="n"/>
    </row>
    <row r="1068">
      <c r="A1068" s="36" t="n"/>
      <c r="B1068" s="37" t="n"/>
      <c r="C1068" s="37" t="n"/>
      <c r="D1068" s="38">
        <f>IF(C1068="","",IFERROR(INDEX(Anuncios!$B$6:$B$65,MATCH(C1068,Anuncios!$A$6:$A$65,0)),"(no está en Anuncios)"))</f>
        <v/>
      </c>
      <c r="E1068" s="39" t="n"/>
      <c r="F1068" s="40" t="n"/>
      <c r="G1068" s="40" t="n"/>
      <c r="H1068" s="40" t="n"/>
      <c r="I1068" s="39" t="n"/>
      <c r="J1068" s="13">
        <f>IF(N(F1068)&gt;0,G1068/F1068,"")</f>
        <v/>
      </c>
      <c r="K1068" s="10">
        <f>IF(N(G1068)&gt;0,E1068/G1068,"")</f>
        <v/>
      </c>
      <c r="L1068" s="10">
        <f>IF(N(H1068)&gt;0,E1068/H1068,"")</f>
        <v/>
      </c>
      <c r="M1068" s="11">
        <f>IF(N(E1068)&gt;0,I1068/E1068,"")</f>
        <v/>
      </c>
      <c r="N1068" s="10">
        <f>IF(AND(E1068="",I1068=""),"",N(I1068)*(1-COM-COM_SHOP)-N(E1068)*(1+IMP_META))</f>
        <v/>
      </c>
      <c r="O1068" s="37" t="n"/>
    </row>
    <row r="1069">
      <c r="A1069" s="36" t="n"/>
      <c r="B1069" s="37" t="n"/>
      <c r="C1069" s="37" t="n"/>
      <c r="D1069" s="38">
        <f>IF(C1069="","",IFERROR(INDEX(Anuncios!$B$6:$B$65,MATCH(C1069,Anuncios!$A$6:$A$65,0)),"(no está en Anuncios)"))</f>
        <v/>
      </c>
      <c r="E1069" s="39" t="n"/>
      <c r="F1069" s="40" t="n"/>
      <c r="G1069" s="40" t="n"/>
      <c r="H1069" s="40" t="n"/>
      <c r="I1069" s="39" t="n"/>
      <c r="J1069" s="13">
        <f>IF(N(F1069)&gt;0,G1069/F1069,"")</f>
        <v/>
      </c>
      <c r="K1069" s="10">
        <f>IF(N(G1069)&gt;0,E1069/G1069,"")</f>
        <v/>
      </c>
      <c r="L1069" s="10">
        <f>IF(N(H1069)&gt;0,E1069/H1069,"")</f>
        <v/>
      </c>
      <c r="M1069" s="11">
        <f>IF(N(E1069)&gt;0,I1069/E1069,"")</f>
        <v/>
      </c>
      <c r="N1069" s="10">
        <f>IF(AND(E1069="",I1069=""),"",N(I1069)*(1-COM-COM_SHOP)-N(E1069)*(1+IMP_META))</f>
        <v/>
      </c>
      <c r="O1069" s="37" t="n"/>
    </row>
    <row r="1070">
      <c r="A1070" s="36" t="n"/>
      <c r="B1070" s="37" t="n"/>
      <c r="C1070" s="37" t="n"/>
      <c r="D1070" s="38">
        <f>IF(C1070="","",IFERROR(INDEX(Anuncios!$B$6:$B$65,MATCH(C1070,Anuncios!$A$6:$A$65,0)),"(no está en Anuncios)"))</f>
        <v/>
      </c>
      <c r="E1070" s="39" t="n"/>
      <c r="F1070" s="40" t="n"/>
      <c r="G1070" s="40" t="n"/>
      <c r="H1070" s="40" t="n"/>
      <c r="I1070" s="39" t="n"/>
      <c r="J1070" s="13">
        <f>IF(N(F1070)&gt;0,G1070/F1070,"")</f>
        <v/>
      </c>
      <c r="K1070" s="10">
        <f>IF(N(G1070)&gt;0,E1070/G1070,"")</f>
        <v/>
      </c>
      <c r="L1070" s="10">
        <f>IF(N(H1070)&gt;0,E1070/H1070,"")</f>
        <v/>
      </c>
      <c r="M1070" s="11">
        <f>IF(N(E1070)&gt;0,I1070/E1070,"")</f>
        <v/>
      </c>
      <c r="N1070" s="10">
        <f>IF(AND(E1070="",I1070=""),"",N(I1070)*(1-COM-COM_SHOP)-N(E1070)*(1+IMP_META))</f>
        <v/>
      </c>
      <c r="O1070" s="37" t="n"/>
    </row>
    <row r="1071">
      <c r="A1071" s="36" t="n"/>
      <c r="B1071" s="37" t="n"/>
      <c r="C1071" s="37" t="n"/>
      <c r="D1071" s="38">
        <f>IF(C1071="","",IFERROR(INDEX(Anuncios!$B$6:$B$65,MATCH(C1071,Anuncios!$A$6:$A$65,0)),"(no está en Anuncios)"))</f>
        <v/>
      </c>
      <c r="E1071" s="39" t="n"/>
      <c r="F1071" s="40" t="n"/>
      <c r="G1071" s="40" t="n"/>
      <c r="H1071" s="40" t="n"/>
      <c r="I1071" s="39" t="n"/>
      <c r="J1071" s="13">
        <f>IF(N(F1071)&gt;0,G1071/F1071,"")</f>
        <v/>
      </c>
      <c r="K1071" s="10">
        <f>IF(N(G1071)&gt;0,E1071/G1071,"")</f>
        <v/>
      </c>
      <c r="L1071" s="10">
        <f>IF(N(H1071)&gt;0,E1071/H1071,"")</f>
        <v/>
      </c>
      <c r="M1071" s="11">
        <f>IF(N(E1071)&gt;0,I1071/E1071,"")</f>
        <v/>
      </c>
      <c r="N1071" s="10">
        <f>IF(AND(E1071="",I1071=""),"",N(I1071)*(1-COM-COM_SHOP)-N(E1071)*(1+IMP_META))</f>
        <v/>
      </c>
      <c r="O1071" s="37" t="n"/>
    </row>
    <row r="1072">
      <c r="A1072" s="36" t="n"/>
      <c r="B1072" s="37" t="n"/>
      <c r="C1072" s="37" t="n"/>
      <c r="D1072" s="38">
        <f>IF(C1072="","",IFERROR(INDEX(Anuncios!$B$6:$B$65,MATCH(C1072,Anuncios!$A$6:$A$65,0)),"(no está en Anuncios)"))</f>
        <v/>
      </c>
      <c r="E1072" s="39" t="n"/>
      <c r="F1072" s="40" t="n"/>
      <c r="G1072" s="40" t="n"/>
      <c r="H1072" s="40" t="n"/>
      <c r="I1072" s="39" t="n"/>
      <c r="J1072" s="13">
        <f>IF(N(F1072)&gt;0,G1072/F1072,"")</f>
        <v/>
      </c>
      <c r="K1072" s="10">
        <f>IF(N(G1072)&gt;0,E1072/G1072,"")</f>
        <v/>
      </c>
      <c r="L1072" s="10">
        <f>IF(N(H1072)&gt;0,E1072/H1072,"")</f>
        <v/>
      </c>
      <c r="M1072" s="11">
        <f>IF(N(E1072)&gt;0,I1072/E1072,"")</f>
        <v/>
      </c>
      <c r="N1072" s="10">
        <f>IF(AND(E1072="",I1072=""),"",N(I1072)*(1-COM-COM_SHOP)-N(E1072)*(1+IMP_META))</f>
        <v/>
      </c>
      <c r="O1072" s="37" t="n"/>
    </row>
    <row r="1073">
      <c r="A1073" s="36" t="n"/>
      <c r="B1073" s="37" t="n"/>
      <c r="C1073" s="37" t="n"/>
      <c r="D1073" s="38">
        <f>IF(C1073="","",IFERROR(INDEX(Anuncios!$B$6:$B$65,MATCH(C1073,Anuncios!$A$6:$A$65,0)),"(no está en Anuncios)"))</f>
        <v/>
      </c>
      <c r="E1073" s="39" t="n"/>
      <c r="F1073" s="40" t="n"/>
      <c r="G1073" s="40" t="n"/>
      <c r="H1073" s="40" t="n"/>
      <c r="I1073" s="39" t="n"/>
      <c r="J1073" s="13">
        <f>IF(N(F1073)&gt;0,G1073/F1073,"")</f>
        <v/>
      </c>
      <c r="K1073" s="10">
        <f>IF(N(G1073)&gt;0,E1073/G1073,"")</f>
        <v/>
      </c>
      <c r="L1073" s="10">
        <f>IF(N(H1073)&gt;0,E1073/H1073,"")</f>
        <v/>
      </c>
      <c r="M1073" s="11">
        <f>IF(N(E1073)&gt;0,I1073/E1073,"")</f>
        <v/>
      </c>
      <c r="N1073" s="10">
        <f>IF(AND(E1073="",I1073=""),"",N(I1073)*(1-COM-COM_SHOP)-N(E1073)*(1+IMP_META))</f>
        <v/>
      </c>
      <c r="O1073" s="37" t="n"/>
    </row>
    <row r="1074">
      <c r="A1074" s="36" t="n"/>
      <c r="B1074" s="37" t="n"/>
      <c r="C1074" s="37" t="n"/>
      <c r="D1074" s="38">
        <f>IF(C1074="","",IFERROR(INDEX(Anuncios!$B$6:$B$65,MATCH(C1074,Anuncios!$A$6:$A$65,0)),"(no está en Anuncios)"))</f>
        <v/>
      </c>
      <c r="E1074" s="39" t="n"/>
      <c r="F1074" s="40" t="n"/>
      <c r="G1074" s="40" t="n"/>
      <c r="H1074" s="40" t="n"/>
      <c r="I1074" s="39" t="n"/>
      <c r="J1074" s="13">
        <f>IF(N(F1074)&gt;0,G1074/F1074,"")</f>
        <v/>
      </c>
      <c r="K1074" s="10">
        <f>IF(N(G1074)&gt;0,E1074/G1074,"")</f>
        <v/>
      </c>
      <c r="L1074" s="10">
        <f>IF(N(H1074)&gt;0,E1074/H1074,"")</f>
        <v/>
      </c>
      <c r="M1074" s="11">
        <f>IF(N(E1074)&gt;0,I1074/E1074,"")</f>
        <v/>
      </c>
      <c r="N1074" s="10">
        <f>IF(AND(E1074="",I1074=""),"",N(I1074)*(1-COM-COM_SHOP)-N(E1074)*(1+IMP_META))</f>
        <v/>
      </c>
      <c r="O1074" s="37" t="n"/>
    </row>
    <row r="1075">
      <c r="A1075" s="36" t="n"/>
      <c r="B1075" s="37" t="n"/>
      <c r="C1075" s="37" t="n"/>
      <c r="D1075" s="38">
        <f>IF(C1075="","",IFERROR(INDEX(Anuncios!$B$6:$B$65,MATCH(C1075,Anuncios!$A$6:$A$65,0)),"(no está en Anuncios)"))</f>
        <v/>
      </c>
      <c r="E1075" s="39" t="n"/>
      <c r="F1075" s="40" t="n"/>
      <c r="G1075" s="40" t="n"/>
      <c r="H1075" s="40" t="n"/>
      <c r="I1075" s="39" t="n"/>
      <c r="J1075" s="13">
        <f>IF(N(F1075)&gt;0,G1075/F1075,"")</f>
        <v/>
      </c>
      <c r="K1075" s="10">
        <f>IF(N(G1075)&gt;0,E1075/G1075,"")</f>
        <v/>
      </c>
      <c r="L1075" s="10">
        <f>IF(N(H1075)&gt;0,E1075/H1075,"")</f>
        <v/>
      </c>
      <c r="M1075" s="11">
        <f>IF(N(E1075)&gt;0,I1075/E1075,"")</f>
        <v/>
      </c>
      <c r="N1075" s="10">
        <f>IF(AND(E1075="",I1075=""),"",N(I1075)*(1-COM-COM_SHOP)-N(E1075)*(1+IMP_META))</f>
        <v/>
      </c>
      <c r="O1075" s="37" t="n"/>
    </row>
    <row r="1076">
      <c r="A1076" s="36" t="n"/>
      <c r="B1076" s="37" t="n"/>
      <c r="C1076" s="37" t="n"/>
      <c r="D1076" s="38">
        <f>IF(C1076="","",IFERROR(INDEX(Anuncios!$B$6:$B$65,MATCH(C1076,Anuncios!$A$6:$A$65,0)),"(no está en Anuncios)"))</f>
        <v/>
      </c>
      <c r="E1076" s="39" t="n"/>
      <c r="F1076" s="40" t="n"/>
      <c r="G1076" s="40" t="n"/>
      <c r="H1076" s="40" t="n"/>
      <c r="I1076" s="39" t="n"/>
      <c r="J1076" s="13">
        <f>IF(N(F1076)&gt;0,G1076/F1076,"")</f>
        <v/>
      </c>
      <c r="K1076" s="10">
        <f>IF(N(G1076)&gt;0,E1076/G1076,"")</f>
        <v/>
      </c>
      <c r="L1076" s="10">
        <f>IF(N(H1076)&gt;0,E1076/H1076,"")</f>
        <v/>
      </c>
      <c r="M1076" s="11">
        <f>IF(N(E1076)&gt;0,I1076/E1076,"")</f>
        <v/>
      </c>
      <c r="N1076" s="10">
        <f>IF(AND(E1076="",I1076=""),"",N(I1076)*(1-COM-COM_SHOP)-N(E1076)*(1+IMP_META))</f>
        <v/>
      </c>
      <c r="O1076" s="37" t="n"/>
    </row>
    <row r="1077">
      <c r="A1077" s="36" t="n"/>
      <c r="B1077" s="37" t="n"/>
      <c r="C1077" s="37" t="n"/>
      <c r="D1077" s="38">
        <f>IF(C1077="","",IFERROR(INDEX(Anuncios!$B$6:$B$65,MATCH(C1077,Anuncios!$A$6:$A$65,0)),"(no está en Anuncios)"))</f>
        <v/>
      </c>
      <c r="E1077" s="39" t="n"/>
      <c r="F1077" s="40" t="n"/>
      <c r="G1077" s="40" t="n"/>
      <c r="H1077" s="40" t="n"/>
      <c r="I1077" s="39" t="n"/>
      <c r="J1077" s="13">
        <f>IF(N(F1077)&gt;0,G1077/F1077,"")</f>
        <v/>
      </c>
      <c r="K1077" s="10">
        <f>IF(N(G1077)&gt;0,E1077/G1077,"")</f>
        <v/>
      </c>
      <c r="L1077" s="10">
        <f>IF(N(H1077)&gt;0,E1077/H1077,"")</f>
        <v/>
      </c>
      <c r="M1077" s="11">
        <f>IF(N(E1077)&gt;0,I1077/E1077,"")</f>
        <v/>
      </c>
      <c r="N1077" s="10">
        <f>IF(AND(E1077="",I1077=""),"",N(I1077)*(1-COM-COM_SHOP)-N(E1077)*(1+IMP_META))</f>
        <v/>
      </c>
      <c r="O1077" s="37" t="n"/>
    </row>
    <row r="1078">
      <c r="A1078" s="36" t="n"/>
      <c r="B1078" s="37" t="n"/>
      <c r="C1078" s="37" t="n"/>
      <c r="D1078" s="38">
        <f>IF(C1078="","",IFERROR(INDEX(Anuncios!$B$6:$B$65,MATCH(C1078,Anuncios!$A$6:$A$65,0)),"(no está en Anuncios)"))</f>
        <v/>
      </c>
      <c r="E1078" s="39" t="n"/>
      <c r="F1078" s="40" t="n"/>
      <c r="G1078" s="40" t="n"/>
      <c r="H1078" s="40" t="n"/>
      <c r="I1078" s="39" t="n"/>
      <c r="J1078" s="13">
        <f>IF(N(F1078)&gt;0,G1078/F1078,"")</f>
        <v/>
      </c>
      <c r="K1078" s="10">
        <f>IF(N(G1078)&gt;0,E1078/G1078,"")</f>
        <v/>
      </c>
      <c r="L1078" s="10">
        <f>IF(N(H1078)&gt;0,E1078/H1078,"")</f>
        <v/>
      </c>
      <c r="M1078" s="11">
        <f>IF(N(E1078)&gt;0,I1078/E1078,"")</f>
        <v/>
      </c>
      <c r="N1078" s="10">
        <f>IF(AND(E1078="",I1078=""),"",N(I1078)*(1-COM-COM_SHOP)-N(E1078)*(1+IMP_META))</f>
        <v/>
      </c>
      <c r="O1078" s="37" t="n"/>
    </row>
    <row r="1079">
      <c r="A1079" s="36" t="n"/>
      <c r="B1079" s="37" t="n"/>
      <c r="C1079" s="37" t="n"/>
      <c r="D1079" s="38">
        <f>IF(C1079="","",IFERROR(INDEX(Anuncios!$B$6:$B$65,MATCH(C1079,Anuncios!$A$6:$A$65,0)),"(no está en Anuncios)"))</f>
        <v/>
      </c>
      <c r="E1079" s="39" t="n"/>
      <c r="F1079" s="40" t="n"/>
      <c r="G1079" s="40" t="n"/>
      <c r="H1079" s="40" t="n"/>
      <c r="I1079" s="39" t="n"/>
      <c r="J1079" s="13">
        <f>IF(N(F1079)&gt;0,G1079/F1079,"")</f>
        <v/>
      </c>
      <c r="K1079" s="10">
        <f>IF(N(G1079)&gt;0,E1079/G1079,"")</f>
        <v/>
      </c>
      <c r="L1079" s="10">
        <f>IF(N(H1079)&gt;0,E1079/H1079,"")</f>
        <v/>
      </c>
      <c r="M1079" s="11">
        <f>IF(N(E1079)&gt;0,I1079/E1079,"")</f>
        <v/>
      </c>
      <c r="N1079" s="10">
        <f>IF(AND(E1079="",I1079=""),"",N(I1079)*(1-COM-COM_SHOP)-N(E1079)*(1+IMP_META))</f>
        <v/>
      </c>
      <c r="O1079" s="37" t="n"/>
    </row>
    <row r="1080">
      <c r="A1080" s="36" t="n"/>
      <c r="B1080" s="37" t="n"/>
      <c r="C1080" s="37" t="n"/>
      <c r="D1080" s="38">
        <f>IF(C1080="","",IFERROR(INDEX(Anuncios!$B$6:$B$65,MATCH(C1080,Anuncios!$A$6:$A$65,0)),"(no está en Anuncios)"))</f>
        <v/>
      </c>
      <c r="E1080" s="39" t="n"/>
      <c r="F1080" s="40" t="n"/>
      <c r="G1080" s="40" t="n"/>
      <c r="H1080" s="40" t="n"/>
      <c r="I1080" s="39" t="n"/>
      <c r="J1080" s="13">
        <f>IF(N(F1080)&gt;0,G1080/F1080,"")</f>
        <v/>
      </c>
      <c r="K1080" s="10">
        <f>IF(N(G1080)&gt;0,E1080/G1080,"")</f>
        <v/>
      </c>
      <c r="L1080" s="10">
        <f>IF(N(H1080)&gt;0,E1080/H1080,"")</f>
        <v/>
      </c>
      <c r="M1080" s="11">
        <f>IF(N(E1080)&gt;0,I1080/E1080,"")</f>
        <v/>
      </c>
      <c r="N1080" s="10">
        <f>IF(AND(E1080="",I1080=""),"",N(I1080)*(1-COM-COM_SHOP)-N(E1080)*(1+IMP_META))</f>
        <v/>
      </c>
      <c r="O1080" s="37" t="n"/>
    </row>
    <row r="1081">
      <c r="A1081" s="36" t="n"/>
      <c r="B1081" s="37" t="n"/>
      <c r="C1081" s="37" t="n"/>
      <c r="D1081" s="38">
        <f>IF(C1081="","",IFERROR(INDEX(Anuncios!$B$6:$B$65,MATCH(C1081,Anuncios!$A$6:$A$65,0)),"(no está en Anuncios)"))</f>
        <v/>
      </c>
      <c r="E1081" s="39" t="n"/>
      <c r="F1081" s="40" t="n"/>
      <c r="G1081" s="40" t="n"/>
      <c r="H1081" s="40" t="n"/>
      <c r="I1081" s="39" t="n"/>
      <c r="J1081" s="13">
        <f>IF(N(F1081)&gt;0,G1081/F1081,"")</f>
        <v/>
      </c>
      <c r="K1081" s="10">
        <f>IF(N(G1081)&gt;0,E1081/G1081,"")</f>
        <v/>
      </c>
      <c r="L1081" s="10">
        <f>IF(N(H1081)&gt;0,E1081/H1081,"")</f>
        <v/>
      </c>
      <c r="M1081" s="11">
        <f>IF(N(E1081)&gt;0,I1081/E1081,"")</f>
        <v/>
      </c>
      <c r="N1081" s="10">
        <f>IF(AND(E1081="",I1081=""),"",N(I1081)*(1-COM-COM_SHOP)-N(E1081)*(1+IMP_META))</f>
        <v/>
      </c>
      <c r="O1081" s="37" t="n"/>
    </row>
    <row r="1082">
      <c r="A1082" s="36" t="n"/>
      <c r="B1082" s="37" t="n"/>
      <c r="C1082" s="37" t="n"/>
      <c r="D1082" s="38">
        <f>IF(C1082="","",IFERROR(INDEX(Anuncios!$B$6:$B$65,MATCH(C1082,Anuncios!$A$6:$A$65,0)),"(no está en Anuncios)"))</f>
        <v/>
      </c>
      <c r="E1082" s="39" t="n"/>
      <c r="F1082" s="40" t="n"/>
      <c r="G1082" s="40" t="n"/>
      <c r="H1082" s="40" t="n"/>
      <c r="I1082" s="39" t="n"/>
      <c r="J1082" s="13">
        <f>IF(N(F1082)&gt;0,G1082/F1082,"")</f>
        <v/>
      </c>
      <c r="K1082" s="10">
        <f>IF(N(G1082)&gt;0,E1082/G1082,"")</f>
        <v/>
      </c>
      <c r="L1082" s="10">
        <f>IF(N(H1082)&gt;0,E1082/H1082,"")</f>
        <v/>
      </c>
      <c r="M1082" s="11">
        <f>IF(N(E1082)&gt;0,I1082/E1082,"")</f>
        <v/>
      </c>
      <c r="N1082" s="10">
        <f>IF(AND(E1082="",I1082=""),"",N(I1082)*(1-COM-COM_SHOP)-N(E1082)*(1+IMP_META))</f>
        <v/>
      </c>
      <c r="O1082" s="37" t="n"/>
    </row>
    <row r="1083">
      <c r="A1083" s="36" t="n"/>
      <c r="B1083" s="37" t="n"/>
      <c r="C1083" s="37" t="n"/>
      <c r="D1083" s="38">
        <f>IF(C1083="","",IFERROR(INDEX(Anuncios!$B$6:$B$65,MATCH(C1083,Anuncios!$A$6:$A$65,0)),"(no está en Anuncios)"))</f>
        <v/>
      </c>
      <c r="E1083" s="39" t="n"/>
      <c r="F1083" s="40" t="n"/>
      <c r="G1083" s="40" t="n"/>
      <c r="H1083" s="40" t="n"/>
      <c r="I1083" s="39" t="n"/>
      <c r="J1083" s="13">
        <f>IF(N(F1083)&gt;0,G1083/F1083,"")</f>
        <v/>
      </c>
      <c r="K1083" s="10">
        <f>IF(N(G1083)&gt;0,E1083/G1083,"")</f>
        <v/>
      </c>
      <c r="L1083" s="10">
        <f>IF(N(H1083)&gt;0,E1083/H1083,"")</f>
        <v/>
      </c>
      <c r="M1083" s="11">
        <f>IF(N(E1083)&gt;0,I1083/E1083,"")</f>
        <v/>
      </c>
      <c r="N1083" s="10">
        <f>IF(AND(E1083="",I1083=""),"",N(I1083)*(1-COM-COM_SHOP)-N(E1083)*(1+IMP_META))</f>
        <v/>
      </c>
      <c r="O1083" s="37" t="n"/>
    </row>
    <row r="1084">
      <c r="A1084" s="36" t="n"/>
      <c r="B1084" s="37" t="n"/>
      <c r="C1084" s="37" t="n"/>
      <c r="D1084" s="38">
        <f>IF(C1084="","",IFERROR(INDEX(Anuncios!$B$6:$B$65,MATCH(C1084,Anuncios!$A$6:$A$65,0)),"(no está en Anuncios)"))</f>
        <v/>
      </c>
      <c r="E1084" s="39" t="n"/>
      <c r="F1084" s="40" t="n"/>
      <c r="G1084" s="40" t="n"/>
      <c r="H1084" s="40" t="n"/>
      <c r="I1084" s="39" t="n"/>
      <c r="J1084" s="13">
        <f>IF(N(F1084)&gt;0,G1084/F1084,"")</f>
        <v/>
      </c>
      <c r="K1084" s="10">
        <f>IF(N(G1084)&gt;0,E1084/G1084,"")</f>
        <v/>
      </c>
      <c r="L1084" s="10">
        <f>IF(N(H1084)&gt;0,E1084/H1084,"")</f>
        <v/>
      </c>
      <c r="M1084" s="11">
        <f>IF(N(E1084)&gt;0,I1084/E1084,"")</f>
        <v/>
      </c>
      <c r="N1084" s="10">
        <f>IF(AND(E1084="",I1084=""),"",N(I1084)*(1-COM-COM_SHOP)-N(E1084)*(1+IMP_META))</f>
        <v/>
      </c>
      <c r="O1084" s="37" t="n"/>
    </row>
    <row r="1085">
      <c r="A1085" s="36" t="n"/>
      <c r="B1085" s="37" t="n"/>
      <c r="C1085" s="37" t="n"/>
      <c r="D1085" s="38">
        <f>IF(C1085="","",IFERROR(INDEX(Anuncios!$B$6:$B$65,MATCH(C1085,Anuncios!$A$6:$A$65,0)),"(no está en Anuncios)"))</f>
        <v/>
      </c>
      <c r="E1085" s="39" t="n"/>
      <c r="F1085" s="40" t="n"/>
      <c r="G1085" s="40" t="n"/>
      <c r="H1085" s="40" t="n"/>
      <c r="I1085" s="39" t="n"/>
      <c r="J1085" s="13">
        <f>IF(N(F1085)&gt;0,G1085/F1085,"")</f>
        <v/>
      </c>
      <c r="K1085" s="10">
        <f>IF(N(G1085)&gt;0,E1085/G1085,"")</f>
        <v/>
      </c>
      <c r="L1085" s="10">
        <f>IF(N(H1085)&gt;0,E1085/H1085,"")</f>
        <v/>
      </c>
      <c r="M1085" s="11">
        <f>IF(N(E1085)&gt;0,I1085/E1085,"")</f>
        <v/>
      </c>
      <c r="N1085" s="10">
        <f>IF(AND(E1085="",I1085=""),"",N(I1085)*(1-COM-COM_SHOP)-N(E1085)*(1+IMP_META))</f>
        <v/>
      </c>
      <c r="O1085" s="37" t="n"/>
    </row>
    <row r="1086">
      <c r="A1086" s="36" t="n"/>
      <c r="B1086" s="37" t="n"/>
      <c r="C1086" s="37" t="n"/>
      <c r="D1086" s="38">
        <f>IF(C1086="","",IFERROR(INDEX(Anuncios!$B$6:$B$65,MATCH(C1086,Anuncios!$A$6:$A$65,0)),"(no está en Anuncios)"))</f>
        <v/>
      </c>
      <c r="E1086" s="39" t="n"/>
      <c r="F1086" s="40" t="n"/>
      <c r="G1086" s="40" t="n"/>
      <c r="H1086" s="40" t="n"/>
      <c r="I1086" s="39" t="n"/>
      <c r="J1086" s="13">
        <f>IF(N(F1086)&gt;0,G1086/F1086,"")</f>
        <v/>
      </c>
      <c r="K1086" s="10">
        <f>IF(N(G1086)&gt;0,E1086/G1086,"")</f>
        <v/>
      </c>
      <c r="L1086" s="10">
        <f>IF(N(H1086)&gt;0,E1086/H1086,"")</f>
        <v/>
      </c>
      <c r="M1086" s="11">
        <f>IF(N(E1086)&gt;0,I1086/E1086,"")</f>
        <v/>
      </c>
      <c r="N1086" s="10">
        <f>IF(AND(E1086="",I1086=""),"",N(I1086)*(1-COM-COM_SHOP)-N(E1086)*(1+IMP_META))</f>
        <v/>
      </c>
      <c r="O1086" s="37" t="n"/>
    </row>
    <row r="1087">
      <c r="A1087" s="36" t="n"/>
      <c r="B1087" s="37" t="n"/>
      <c r="C1087" s="37" t="n"/>
      <c r="D1087" s="38">
        <f>IF(C1087="","",IFERROR(INDEX(Anuncios!$B$6:$B$65,MATCH(C1087,Anuncios!$A$6:$A$65,0)),"(no está en Anuncios)"))</f>
        <v/>
      </c>
      <c r="E1087" s="39" t="n"/>
      <c r="F1087" s="40" t="n"/>
      <c r="G1087" s="40" t="n"/>
      <c r="H1087" s="40" t="n"/>
      <c r="I1087" s="39" t="n"/>
      <c r="J1087" s="13">
        <f>IF(N(F1087)&gt;0,G1087/F1087,"")</f>
        <v/>
      </c>
      <c r="K1087" s="10">
        <f>IF(N(G1087)&gt;0,E1087/G1087,"")</f>
        <v/>
      </c>
      <c r="L1087" s="10">
        <f>IF(N(H1087)&gt;0,E1087/H1087,"")</f>
        <v/>
      </c>
      <c r="M1087" s="11">
        <f>IF(N(E1087)&gt;0,I1087/E1087,"")</f>
        <v/>
      </c>
      <c r="N1087" s="10">
        <f>IF(AND(E1087="",I1087=""),"",N(I1087)*(1-COM-COM_SHOP)-N(E1087)*(1+IMP_META))</f>
        <v/>
      </c>
      <c r="O1087" s="37" t="n"/>
    </row>
    <row r="1088">
      <c r="A1088" s="36" t="n"/>
      <c r="B1088" s="37" t="n"/>
      <c r="C1088" s="37" t="n"/>
      <c r="D1088" s="38">
        <f>IF(C1088="","",IFERROR(INDEX(Anuncios!$B$6:$B$65,MATCH(C1088,Anuncios!$A$6:$A$65,0)),"(no está en Anuncios)"))</f>
        <v/>
      </c>
      <c r="E1088" s="39" t="n"/>
      <c r="F1088" s="40" t="n"/>
      <c r="G1088" s="40" t="n"/>
      <c r="H1088" s="40" t="n"/>
      <c r="I1088" s="39" t="n"/>
      <c r="J1088" s="13">
        <f>IF(N(F1088)&gt;0,G1088/F1088,"")</f>
        <v/>
      </c>
      <c r="K1088" s="10">
        <f>IF(N(G1088)&gt;0,E1088/G1088,"")</f>
        <v/>
      </c>
      <c r="L1088" s="10">
        <f>IF(N(H1088)&gt;0,E1088/H1088,"")</f>
        <v/>
      </c>
      <c r="M1088" s="11">
        <f>IF(N(E1088)&gt;0,I1088/E1088,"")</f>
        <v/>
      </c>
      <c r="N1088" s="10">
        <f>IF(AND(E1088="",I1088=""),"",N(I1088)*(1-COM-COM_SHOP)-N(E1088)*(1+IMP_META))</f>
        <v/>
      </c>
      <c r="O1088" s="37" t="n"/>
    </row>
    <row r="1089">
      <c r="A1089" s="36" t="n"/>
      <c r="B1089" s="37" t="n"/>
      <c r="C1089" s="37" t="n"/>
      <c r="D1089" s="38">
        <f>IF(C1089="","",IFERROR(INDEX(Anuncios!$B$6:$B$65,MATCH(C1089,Anuncios!$A$6:$A$65,0)),"(no está en Anuncios)"))</f>
        <v/>
      </c>
      <c r="E1089" s="39" t="n"/>
      <c r="F1089" s="40" t="n"/>
      <c r="G1089" s="40" t="n"/>
      <c r="H1089" s="40" t="n"/>
      <c r="I1089" s="39" t="n"/>
      <c r="J1089" s="13">
        <f>IF(N(F1089)&gt;0,G1089/F1089,"")</f>
        <v/>
      </c>
      <c r="K1089" s="10">
        <f>IF(N(G1089)&gt;0,E1089/G1089,"")</f>
        <v/>
      </c>
      <c r="L1089" s="10">
        <f>IF(N(H1089)&gt;0,E1089/H1089,"")</f>
        <v/>
      </c>
      <c r="M1089" s="11">
        <f>IF(N(E1089)&gt;0,I1089/E1089,"")</f>
        <v/>
      </c>
      <c r="N1089" s="10">
        <f>IF(AND(E1089="",I1089=""),"",N(I1089)*(1-COM-COM_SHOP)-N(E1089)*(1+IMP_META))</f>
        <v/>
      </c>
      <c r="O1089" s="37" t="n"/>
    </row>
    <row r="1090">
      <c r="A1090" s="36" t="n"/>
      <c r="B1090" s="37" t="n"/>
      <c r="C1090" s="37" t="n"/>
      <c r="D1090" s="38">
        <f>IF(C1090="","",IFERROR(INDEX(Anuncios!$B$6:$B$65,MATCH(C1090,Anuncios!$A$6:$A$65,0)),"(no está en Anuncios)"))</f>
        <v/>
      </c>
      <c r="E1090" s="39" t="n"/>
      <c r="F1090" s="40" t="n"/>
      <c r="G1090" s="40" t="n"/>
      <c r="H1090" s="40" t="n"/>
      <c r="I1090" s="39" t="n"/>
      <c r="J1090" s="13">
        <f>IF(N(F1090)&gt;0,G1090/F1090,"")</f>
        <v/>
      </c>
      <c r="K1090" s="10">
        <f>IF(N(G1090)&gt;0,E1090/G1090,"")</f>
        <v/>
      </c>
      <c r="L1090" s="10">
        <f>IF(N(H1090)&gt;0,E1090/H1090,"")</f>
        <v/>
      </c>
      <c r="M1090" s="11">
        <f>IF(N(E1090)&gt;0,I1090/E1090,"")</f>
        <v/>
      </c>
      <c r="N1090" s="10">
        <f>IF(AND(E1090="",I1090=""),"",N(I1090)*(1-COM-COM_SHOP)-N(E1090)*(1+IMP_META))</f>
        <v/>
      </c>
      <c r="O1090" s="37" t="n"/>
    </row>
    <row r="1091">
      <c r="A1091" s="36" t="n"/>
      <c r="B1091" s="37" t="n"/>
      <c r="C1091" s="37" t="n"/>
      <c r="D1091" s="38">
        <f>IF(C1091="","",IFERROR(INDEX(Anuncios!$B$6:$B$65,MATCH(C1091,Anuncios!$A$6:$A$65,0)),"(no está en Anuncios)"))</f>
        <v/>
      </c>
      <c r="E1091" s="39" t="n"/>
      <c r="F1091" s="40" t="n"/>
      <c r="G1091" s="40" t="n"/>
      <c r="H1091" s="40" t="n"/>
      <c r="I1091" s="39" t="n"/>
      <c r="J1091" s="13">
        <f>IF(N(F1091)&gt;0,G1091/F1091,"")</f>
        <v/>
      </c>
      <c r="K1091" s="10">
        <f>IF(N(G1091)&gt;0,E1091/G1091,"")</f>
        <v/>
      </c>
      <c r="L1091" s="10">
        <f>IF(N(H1091)&gt;0,E1091/H1091,"")</f>
        <v/>
      </c>
      <c r="M1091" s="11">
        <f>IF(N(E1091)&gt;0,I1091/E1091,"")</f>
        <v/>
      </c>
      <c r="N1091" s="10">
        <f>IF(AND(E1091="",I1091=""),"",N(I1091)*(1-COM-COM_SHOP)-N(E1091)*(1+IMP_META))</f>
        <v/>
      </c>
      <c r="O1091" s="37" t="n"/>
    </row>
    <row r="1092">
      <c r="A1092" s="36" t="n"/>
      <c r="B1092" s="37" t="n"/>
      <c r="C1092" s="37" t="n"/>
      <c r="D1092" s="38">
        <f>IF(C1092="","",IFERROR(INDEX(Anuncios!$B$6:$B$65,MATCH(C1092,Anuncios!$A$6:$A$65,0)),"(no está en Anuncios)"))</f>
        <v/>
      </c>
      <c r="E1092" s="39" t="n"/>
      <c r="F1092" s="40" t="n"/>
      <c r="G1092" s="40" t="n"/>
      <c r="H1092" s="40" t="n"/>
      <c r="I1092" s="39" t="n"/>
      <c r="J1092" s="13">
        <f>IF(N(F1092)&gt;0,G1092/F1092,"")</f>
        <v/>
      </c>
      <c r="K1092" s="10">
        <f>IF(N(G1092)&gt;0,E1092/G1092,"")</f>
        <v/>
      </c>
      <c r="L1092" s="10">
        <f>IF(N(H1092)&gt;0,E1092/H1092,"")</f>
        <v/>
      </c>
      <c r="M1092" s="11">
        <f>IF(N(E1092)&gt;0,I1092/E1092,"")</f>
        <v/>
      </c>
      <c r="N1092" s="10">
        <f>IF(AND(E1092="",I1092=""),"",N(I1092)*(1-COM-COM_SHOP)-N(E1092)*(1+IMP_META))</f>
        <v/>
      </c>
      <c r="O1092" s="37" t="n"/>
    </row>
    <row r="1093">
      <c r="A1093" s="36" t="n"/>
      <c r="B1093" s="37" t="n"/>
      <c r="C1093" s="37" t="n"/>
      <c r="D1093" s="38">
        <f>IF(C1093="","",IFERROR(INDEX(Anuncios!$B$6:$B$65,MATCH(C1093,Anuncios!$A$6:$A$65,0)),"(no está en Anuncios)"))</f>
        <v/>
      </c>
      <c r="E1093" s="39" t="n"/>
      <c r="F1093" s="40" t="n"/>
      <c r="G1093" s="40" t="n"/>
      <c r="H1093" s="40" t="n"/>
      <c r="I1093" s="39" t="n"/>
      <c r="J1093" s="13">
        <f>IF(N(F1093)&gt;0,G1093/F1093,"")</f>
        <v/>
      </c>
      <c r="K1093" s="10">
        <f>IF(N(G1093)&gt;0,E1093/G1093,"")</f>
        <v/>
      </c>
      <c r="L1093" s="10">
        <f>IF(N(H1093)&gt;0,E1093/H1093,"")</f>
        <v/>
      </c>
      <c r="M1093" s="11">
        <f>IF(N(E1093)&gt;0,I1093/E1093,"")</f>
        <v/>
      </c>
      <c r="N1093" s="10">
        <f>IF(AND(E1093="",I1093=""),"",N(I1093)*(1-COM-COM_SHOP)-N(E1093)*(1+IMP_META))</f>
        <v/>
      </c>
      <c r="O1093" s="37" t="n"/>
    </row>
    <row r="1094">
      <c r="A1094" s="36" t="n"/>
      <c r="B1094" s="37" t="n"/>
      <c r="C1094" s="37" t="n"/>
      <c r="D1094" s="38">
        <f>IF(C1094="","",IFERROR(INDEX(Anuncios!$B$6:$B$65,MATCH(C1094,Anuncios!$A$6:$A$65,0)),"(no está en Anuncios)"))</f>
        <v/>
      </c>
      <c r="E1094" s="39" t="n"/>
      <c r="F1094" s="40" t="n"/>
      <c r="G1094" s="40" t="n"/>
      <c r="H1094" s="40" t="n"/>
      <c r="I1094" s="39" t="n"/>
      <c r="J1094" s="13">
        <f>IF(N(F1094)&gt;0,G1094/F1094,"")</f>
        <v/>
      </c>
      <c r="K1094" s="10">
        <f>IF(N(G1094)&gt;0,E1094/G1094,"")</f>
        <v/>
      </c>
      <c r="L1094" s="10">
        <f>IF(N(H1094)&gt;0,E1094/H1094,"")</f>
        <v/>
      </c>
      <c r="M1094" s="11">
        <f>IF(N(E1094)&gt;0,I1094/E1094,"")</f>
        <v/>
      </c>
      <c r="N1094" s="10">
        <f>IF(AND(E1094="",I1094=""),"",N(I1094)*(1-COM-COM_SHOP)-N(E1094)*(1+IMP_META))</f>
        <v/>
      </c>
      <c r="O1094" s="37" t="n"/>
    </row>
    <row r="1095">
      <c r="A1095" s="36" t="n"/>
      <c r="B1095" s="37" t="n"/>
      <c r="C1095" s="37" t="n"/>
      <c r="D1095" s="38">
        <f>IF(C1095="","",IFERROR(INDEX(Anuncios!$B$6:$B$65,MATCH(C1095,Anuncios!$A$6:$A$65,0)),"(no está en Anuncios)"))</f>
        <v/>
      </c>
      <c r="E1095" s="39" t="n"/>
      <c r="F1095" s="40" t="n"/>
      <c r="G1095" s="40" t="n"/>
      <c r="H1095" s="40" t="n"/>
      <c r="I1095" s="39" t="n"/>
      <c r="J1095" s="13">
        <f>IF(N(F1095)&gt;0,G1095/F1095,"")</f>
        <v/>
      </c>
      <c r="K1095" s="10">
        <f>IF(N(G1095)&gt;0,E1095/G1095,"")</f>
        <v/>
      </c>
      <c r="L1095" s="10">
        <f>IF(N(H1095)&gt;0,E1095/H1095,"")</f>
        <v/>
      </c>
      <c r="M1095" s="11">
        <f>IF(N(E1095)&gt;0,I1095/E1095,"")</f>
        <v/>
      </c>
      <c r="N1095" s="10">
        <f>IF(AND(E1095="",I1095=""),"",N(I1095)*(1-COM-COM_SHOP)-N(E1095)*(1+IMP_META))</f>
        <v/>
      </c>
      <c r="O1095" s="37" t="n"/>
    </row>
    <row r="1096">
      <c r="A1096" s="36" t="n"/>
      <c r="B1096" s="37" t="n"/>
      <c r="C1096" s="37" t="n"/>
      <c r="D1096" s="38">
        <f>IF(C1096="","",IFERROR(INDEX(Anuncios!$B$6:$B$65,MATCH(C1096,Anuncios!$A$6:$A$65,0)),"(no está en Anuncios)"))</f>
        <v/>
      </c>
      <c r="E1096" s="39" t="n"/>
      <c r="F1096" s="40" t="n"/>
      <c r="G1096" s="40" t="n"/>
      <c r="H1096" s="40" t="n"/>
      <c r="I1096" s="39" t="n"/>
      <c r="J1096" s="13">
        <f>IF(N(F1096)&gt;0,G1096/F1096,"")</f>
        <v/>
      </c>
      <c r="K1096" s="10">
        <f>IF(N(G1096)&gt;0,E1096/G1096,"")</f>
        <v/>
      </c>
      <c r="L1096" s="10">
        <f>IF(N(H1096)&gt;0,E1096/H1096,"")</f>
        <v/>
      </c>
      <c r="M1096" s="11">
        <f>IF(N(E1096)&gt;0,I1096/E1096,"")</f>
        <v/>
      </c>
      <c r="N1096" s="10">
        <f>IF(AND(E1096="",I1096=""),"",N(I1096)*(1-COM-COM_SHOP)-N(E1096)*(1+IMP_META))</f>
        <v/>
      </c>
      <c r="O1096" s="37" t="n"/>
    </row>
    <row r="1097">
      <c r="A1097" s="36" t="n"/>
      <c r="B1097" s="37" t="n"/>
      <c r="C1097" s="37" t="n"/>
      <c r="D1097" s="38">
        <f>IF(C1097="","",IFERROR(INDEX(Anuncios!$B$6:$B$65,MATCH(C1097,Anuncios!$A$6:$A$65,0)),"(no está en Anuncios)"))</f>
        <v/>
      </c>
      <c r="E1097" s="39" t="n"/>
      <c r="F1097" s="40" t="n"/>
      <c r="G1097" s="40" t="n"/>
      <c r="H1097" s="40" t="n"/>
      <c r="I1097" s="39" t="n"/>
      <c r="J1097" s="13">
        <f>IF(N(F1097)&gt;0,G1097/F1097,"")</f>
        <v/>
      </c>
      <c r="K1097" s="10">
        <f>IF(N(G1097)&gt;0,E1097/G1097,"")</f>
        <v/>
      </c>
      <c r="L1097" s="10">
        <f>IF(N(H1097)&gt;0,E1097/H1097,"")</f>
        <v/>
      </c>
      <c r="M1097" s="11">
        <f>IF(N(E1097)&gt;0,I1097/E1097,"")</f>
        <v/>
      </c>
      <c r="N1097" s="10">
        <f>IF(AND(E1097="",I1097=""),"",N(I1097)*(1-COM-COM_SHOP)-N(E1097)*(1+IMP_META))</f>
        <v/>
      </c>
      <c r="O1097" s="37" t="n"/>
    </row>
    <row r="1098">
      <c r="A1098" s="36" t="n"/>
      <c r="B1098" s="37" t="n"/>
      <c r="C1098" s="37" t="n"/>
      <c r="D1098" s="38">
        <f>IF(C1098="","",IFERROR(INDEX(Anuncios!$B$6:$B$65,MATCH(C1098,Anuncios!$A$6:$A$65,0)),"(no está en Anuncios)"))</f>
        <v/>
      </c>
      <c r="E1098" s="39" t="n"/>
      <c r="F1098" s="40" t="n"/>
      <c r="G1098" s="40" t="n"/>
      <c r="H1098" s="40" t="n"/>
      <c r="I1098" s="39" t="n"/>
      <c r="J1098" s="13">
        <f>IF(N(F1098)&gt;0,G1098/F1098,"")</f>
        <v/>
      </c>
      <c r="K1098" s="10">
        <f>IF(N(G1098)&gt;0,E1098/G1098,"")</f>
        <v/>
      </c>
      <c r="L1098" s="10">
        <f>IF(N(H1098)&gt;0,E1098/H1098,"")</f>
        <v/>
      </c>
      <c r="M1098" s="11">
        <f>IF(N(E1098)&gt;0,I1098/E1098,"")</f>
        <v/>
      </c>
      <c r="N1098" s="10">
        <f>IF(AND(E1098="",I1098=""),"",N(I1098)*(1-COM-COM_SHOP)-N(E1098)*(1+IMP_META))</f>
        <v/>
      </c>
      <c r="O1098" s="37" t="n"/>
    </row>
    <row r="1099">
      <c r="A1099" s="36" t="n"/>
      <c r="B1099" s="37" t="n"/>
      <c r="C1099" s="37" t="n"/>
      <c r="D1099" s="38">
        <f>IF(C1099="","",IFERROR(INDEX(Anuncios!$B$6:$B$65,MATCH(C1099,Anuncios!$A$6:$A$65,0)),"(no está en Anuncios)"))</f>
        <v/>
      </c>
      <c r="E1099" s="39" t="n"/>
      <c r="F1099" s="40" t="n"/>
      <c r="G1099" s="40" t="n"/>
      <c r="H1099" s="40" t="n"/>
      <c r="I1099" s="39" t="n"/>
      <c r="J1099" s="13">
        <f>IF(N(F1099)&gt;0,G1099/F1099,"")</f>
        <v/>
      </c>
      <c r="K1099" s="10">
        <f>IF(N(G1099)&gt;0,E1099/G1099,"")</f>
        <v/>
      </c>
      <c r="L1099" s="10">
        <f>IF(N(H1099)&gt;0,E1099/H1099,"")</f>
        <v/>
      </c>
      <c r="M1099" s="11">
        <f>IF(N(E1099)&gt;0,I1099/E1099,"")</f>
        <v/>
      </c>
      <c r="N1099" s="10">
        <f>IF(AND(E1099="",I1099=""),"",N(I1099)*(1-COM-COM_SHOP)-N(E1099)*(1+IMP_META))</f>
        <v/>
      </c>
      <c r="O1099" s="37" t="n"/>
    </row>
    <row r="1100">
      <c r="A1100" s="36" t="n"/>
      <c r="B1100" s="37" t="n"/>
      <c r="C1100" s="37" t="n"/>
      <c r="D1100" s="38">
        <f>IF(C1100="","",IFERROR(INDEX(Anuncios!$B$6:$B$65,MATCH(C1100,Anuncios!$A$6:$A$65,0)),"(no está en Anuncios)"))</f>
        <v/>
      </c>
      <c r="E1100" s="39" t="n"/>
      <c r="F1100" s="40" t="n"/>
      <c r="G1100" s="40" t="n"/>
      <c r="H1100" s="40" t="n"/>
      <c r="I1100" s="39" t="n"/>
      <c r="J1100" s="13">
        <f>IF(N(F1100)&gt;0,G1100/F1100,"")</f>
        <v/>
      </c>
      <c r="K1100" s="10">
        <f>IF(N(G1100)&gt;0,E1100/G1100,"")</f>
        <v/>
      </c>
      <c r="L1100" s="10">
        <f>IF(N(H1100)&gt;0,E1100/H1100,"")</f>
        <v/>
      </c>
      <c r="M1100" s="11">
        <f>IF(N(E1100)&gt;0,I1100/E1100,"")</f>
        <v/>
      </c>
      <c r="N1100" s="10">
        <f>IF(AND(E1100="",I1100=""),"",N(I1100)*(1-COM-COM_SHOP)-N(E1100)*(1+IMP_META))</f>
        <v/>
      </c>
      <c r="O1100" s="37" t="n"/>
    </row>
    <row r="1101">
      <c r="A1101" s="36" t="n"/>
      <c r="B1101" s="37" t="n"/>
      <c r="C1101" s="37" t="n"/>
      <c r="D1101" s="38">
        <f>IF(C1101="","",IFERROR(INDEX(Anuncios!$B$6:$B$65,MATCH(C1101,Anuncios!$A$6:$A$65,0)),"(no está en Anuncios)"))</f>
        <v/>
      </c>
      <c r="E1101" s="39" t="n"/>
      <c r="F1101" s="40" t="n"/>
      <c r="G1101" s="40" t="n"/>
      <c r="H1101" s="40" t="n"/>
      <c r="I1101" s="39" t="n"/>
      <c r="J1101" s="13">
        <f>IF(N(F1101)&gt;0,G1101/F1101,"")</f>
        <v/>
      </c>
      <c r="K1101" s="10">
        <f>IF(N(G1101)&gt;0,E1101/G1101,"")</f>
        <v/>
      </c>
      <c r="L1101" s="10">
        <f>IF(N(H1101)&gt;0,E1101/H1101,"")</f>
        <v/>
      </c>
      <c r="M1101" s="11">
        <f>IF(N(E1101)&gt;0,I1101/E1101,"")</f>
        <v/>
      </c>
      <c r="N1101" s="10">
        <f>IF(AND(E1101="",I1101=""),"",N(I1101)*(1-COM-COM_SHOP)-N(E1101)*(1+IMP_META))</f>
        <v/>
      </c>
      <c r="O1101" s="37" t="n"/>
    </row>
    <row r="1102">
      <c r="A1102" s="36" t="n"/>
      <c r="B1102" s="37" t="n"/>
      <c r="C1102" s="37" t="n"/>
      <c r="D1102" s="38">
        <f>IF(C1102="","",IFERROR(INDEX(Anuncios!$B$6:$B$65,MATCH(C1102,Anuncios!$A$6:$A$65,0)),"(no está en Anuncios)"))</f>
        <v/>
      </c>
      <c r="E1102" s="39" t="n"/>
      <c r="F1102" s="40" t="n"/>
      <c r="G1102" s="40" t="n"/>
      <c r="H1102" s="40" t="n"/>
      <c r="I1102" s="39" t="n"/>
      <c r="J1102" s="13">
        <f>IF(N(F1102)&gt;0,G1102/F1102,"")</f>
        <v/>
      </c>
      <c r="K1102" s="10">
        <f>IF(N(G1102)&gt;0,E1102/G1102,"")</f>
        <v/>
      </c>
      <c r="L1102" s="10">
        <f>IF(N(H1102)&gt;0,E1102/H1102,"")</f>
        <v/>
      </c>
      <c r="M1102" s="11">
        <f>IF(N(E1102)&gt;0,I1102/E1102,"")</f>
        <v/>
      </c>
      <c r="N1102" s="10">
        <f>IF(AND(E1102="",I1102=""),"",N(I1102)*(1-COM-COM_SHOP)-N(E1102)*(1+IMP_META))</f>
        <v/>
      </c>
      <c r="O1102" s="37" t="n"/>
    </row>
    <row r="1103">
      <c r="A1103" s="36" t="n"/>
      <c r="B1103" s="37" t="n"/>
      <c r="C1103" s="37" t="n"/>
      <c r="D1103" s="38">
        <f>IF(C1103="","",IFERROR(INDEX(Anuncios!$B$6:$B$65,MATCH(C1103,Anuncios!$A$6:$A$65,0)),"(no está en Anuncios)"))</f>
        <v/>
      </c>
      <c r="E1103" s="39" t="n"/>
      <c r="F1103" s="40" t="n"/>
      <c r="G1103" s="40" t="n"/>
      <c r="H1103" s="40" t="n"/>
      <c r="I1103" s="39" t="n"/>
      <c r="J1103" s="13">
        <f>IF(N(F1103)&gt;0,G1103/F1103,"")</f>
        <v/>
      </c>
      <c r="K1103" s="10">
        <f>IF(N(G1103)&gt;0,E1103/G1103,"")</f>
        <v/>
      </c>
      <c r="L1103" s="10">
        <f>IF(N(H1103)&gt;0,E1103/H1103,"")</f>
        <v/>
      </c>
      <c r="M1103" s="11">
        <f>IF(N(E1103)&gt;0,I1103/E1103,"")</f>
        <v/>
      </c>
      <c r="N1103" s="10">
        <f>IF(AND(E1103="",I1103=""),"",N(I1103)*(1-COM-COM_SHOP)-N(E1103)*(1+IMP_META))</f>
        <v/>
      </c>
      <c r="O1103" s="37" t="n"/>
    </row>
    <row r="1104">
      <c r="A1104" s="36" t="n"/>
      <c r="B1104" s="37" t="n"/>
      <c r="C1104" s="37" t="n"/>
      <c r="D1104" s="38">
        <f>IF(C1104="","",IFERROR(INDEX(Anuncios!$B$6:$B$65,MATCH(C1104,Anuncios!$A$6:$A$65,0)),"(no está en Anuncios)"))</f>
        <v/>
      </c>
      <c r="E1104" s="39" t="n"/>
      <c r="F1104" s="40" t="n"/>
      <c r="G1104" s="40" t="n"/>
      <c r="H1104" s="40" t="n"/>
      <c r="I1104" s="39" t="n"/>
      <c r="J1104" s="13">
        <f>IF(N(F1104)&gt;0,G1104/F1104,"")</f>
        <v/>
      </c>
      <c r="K1104" s="10">
        <f>IF(N(G1104)&gt;0,E1104/G1104,"")</f>
        <v/>
      </c>
      <c r="L1104" s="10">
        <f>IF(N(H1104)&gt;0,E1104/H1104,"")</f>
        <v/>
      </c>
      <c r="M1104" s="11">
        <f>IF(N(E1104)&gt;0,I1104/E1104,"")</f>
        <v/>
      </c>
      <c r="N1104" s="10">
        <f>IF(AND(E1104="",I1104=""),"",N(I1104)*(1-COM-COM_SHOP)-N(E1104)*(1+IMP_META))</f>
        <v/>
      </c>
      <c r="O1104" s="37" t="n"/>
    </row>
    <row r="1105">
      <c r="A1105" s="36" t="n"/>
      <c r="B1105" s="37" t="n"/>
      <c r="C1105" s="37" t="n"/>
      <c r="D1105" s="38">
        <f>IF(C1105="","",IFERROR(INDEX(Anuncios!$B$6:$B$65,MATCH(C1105,Anuncios!$A$6:$A$65,0)),"(no está en Anuncios)"))</f>
        <v/>
      </c>
      <c r="E1105" s="39" t="n"/>
      <c r="F1105" s="40" t="n"/>
      <c r="G1105" s="40" t="n"/>
      <c r="H1105" s="40" t="n"/>
      <c r="I1105" s="39" t="n"/>
      <c r="J1105" s="13">
        <f>IF(N(F1105)&gt;0,G1105/F1105,"")</f>
        <v/>
      </c>
      <c r="K1105" s="10">
        <f>IF(N(G1105)&gt;0,E1105/G1105,"")</f>
        <v/>
      </c>
      <c r="L1105" s="10">
        <f>IF(N(H1105)&gt;0,E1105/H1105,"")</f>
        <v/>
      </c>
      <c r="M1105" s="11">
        <f>IF(N(E1105)&gt;0,I1105/E1105,"")</f>
        <v/>
      </c>
      <c r="N1105" s="10">
        <f>IF(AND(E1105="",I1105=""),"",N(I1105)*(1-COM-COM_SHOP)-N(E1105)*(1+IMP_META))</f>
        <v/>
      </c>
      <c r="O1105" s="37" t="n"/>
    </row>
    <row r="1106">
      <c r="A1106" s="36" t="n"/>
      <c r="B1106" s="37" t="n"/>
      <c r="C1106" s="37" t="n"/>
      <c r="D1106" s="38">
        <f>IF(C1106="","",IFERROR(INDEX(Anuncios!$B$6:$B$65,MATCH(C1106,Anuncios!$A$6:$A$65,0)),"(no está en Anuncios)"))</f>
        <v/>
      </c>
      <c r="E1106" s="39" t="n"/>
      <c r="F1106" s="40" t="n"/>
      <c r="G1106" s="40" t="n"/>
      <c r="H1106" s="40" t="n"/>
      <c r="I1106" s="39" t="n"/>
      <c r="J1106" s="13">
        <f>IF(N(F1106)&gt;0,G1106/F1106,"")</f>
        <v/>
      </c>
      <c r="K1106" s="10">
        <f>IF(N(G1106)&gt;0,E1106/G1106,"")</f>
        <v/>
      </c>
      <c r="L1106" s="10">
        <f>IF(N(H1106)&gt;0,E1106/H1106,"")</f>
        <v/>
      </c>
      <c r="M1106" s="11">
        <f>IF(N(E1106)&gt;0,I1106/E1106,"")</f>
        <v/>
      </c>
      <c r="N1106" s="10">
        <f>IF(AND(E1106="",I1106=""),"",N(I1106)*(1-COM-COM_SHOP)-N(E1106)*(1+IMP_META))</f>
        <v/>
      </c>
      <c r="O1106" s="37" t="n"/>
    </row>
    <row r="1107">
      <c r="A1107" s="36" t="n"/>
      <c r="B1107" s="37" t="n"/>
      <c r="C1107" s="37" t="n"/>
      <c r="D1107" s="38">
        <f>IF(C1107="","",IFERROR(INDEX(Anuncios!$B$6:$B$65,MATCH(C1107,Anuncios!$A$6:$A$65,0)),"(no está en Anuncios)"))</f>
        <v/>
      </c>
      <c r="E1107" s="39" t="n"/>
      <c r="F1107" s="40" t="n"/>
      <c r="G1107" s="40" t="n"/>
      <c r="H1107" s="40" t="n"/>
      <c r="I1107" s="39" t="n"/>
      <c r="J1107" s="13">
        <f>IF(N(F1107)&gt;0,G1107/F1107,"")</f>
        <v/>
      </c>
      <c r="K1107" s="10">
        <f>IF(N(G1107)&gt;0,E1107/G1107,"")</f>
        <v/>
      </c>
      <c r="L1107" s="10">
        <f>IF(N(H1107)&gt;0,E1107/H1107,"")</f>
        <v/>
      </c>
      <c r="M1107" s="11">
        <f>IF(N(E1107)&gt;0,I1107/E1107,"")</f>
        <v/>
      </c>
      <c r="N1107" s="10">
        <f>IF(AND(E1107="",I1107=""),"",N(I1107)*(1-COM-COM_SHOP)-N(E1107)*(1+IMP_META))</f>
        <v/>
      </c>
      <c r="O1107" s="37" t="n"/>
    </row>
    <row r="1108">
      <c r="A1108" s="36" t="n"/>
      <c r="B1108" s="37" t="n"/>
      <c r="C1108" s="37" t="n"/>
      <c r="D1108" s="38">
        <f>IF(C1108="","",IFERROR(INDEX(Anuncios!$B$6:$B$65,MATCH(C1108,Anuncios!$A$6:$A$65,0)),"(no está en Anuncios)"))</f>
        <v/>
      </c>
      <c r="E1108" s="39" t="n"/>
      <c r="F1108" s="40" t="n"/>
      <c r="G1108" s="40" t="n"/>
      <c r="H1108" s="40" t="n"/>
      <c r="I1108" s="39" t="n"/>
      <c r="J1108" s="13">
        <f>IF(N(F1108)&gt;0,G1108/F1108,"")</f>
        <v/>
      </c>
      <c r="K1108" s="10">
        <f>IF(N(G1108)&gt;0,E1108/G1108,"")</f>
        <v/>
      </c>
      <c r="L1108" s="10">
        <f>IF(N(H1108)&gt;0,E1108/H1108,"")</f>
        <v/>
      </c>
      <c r="M1108" s="11">
        <f>IF(N(E1108)&gt;0,I1108/E1108,"")</f>
        <v/>
      </c>
      <c r="N1108" s="10">
        <f>IF(AND(E1108="",I1108=""),"",N(I1108)*(1-COM-COM_SHOP)-N(E1108)*(1+IMP_META))</f>
        <v/>
      </c>
      <c r="O1108" s="37" t="n"/>
    </row>
    <row r="1109">
      <c r="A1109" s="36" t="n"/>
      <c r="B1109" s="37" t="n"/>
      <c r="C1109" s="37" t="n"/>
      <c r="D1109" s="38">
        <f>IF(C1109="","",IFERROR(INDEX(Anuncios!$B$6:$B$65,MATCH(C1109,Anuncios!$A$6:$A$65,0)),"(no está en Anuncios)"))</f>
        <v/>
      </c>
      <c r="E1109" s="39" t="n"/>
      <c r="F1109" s="40" t="n"/>
      <c r="G1109" s="40" t="n"/>
      <c r="H1109" s="40" t="n"/>
      <c r="I1109" s="39" t="n"/>
      <c r="J1109" s="13">
        <f>IF(N(F1109)&gt;0,G1109/F1109,"")</f>
        <v/>
      </c>
      <c r="K1109" s="10">
        <f>IF(N(G1109)&gt;0,E1109/G1109,"")</f>
        <v/>
      </c>
      <c r="L1109" s="10">
        <f>IF(N(H1109)&gt;0,E1109/H1109,"")</f>
        <v/>
      </c>
      <c r="M1109" s="11">
        <f>IF(N(E1109)&gt;0,I1109/E1109,"")</f>
        <v/>
      </c>
      <c r="N1109" s="10">
        <f>IF(AND(E1109="",I1109=""),"",N(I1109)*(1-COM-COM_SHOP)-N(E1109)*(1+IMP_META))</f>
        <v/>
      </c>
      <c r="O1109" s="37" t="n"/>
    </row>
    <row r="1110">
      <c r="A1110" s="36" t="n"/>
      <c r="B1110" s="37" t="n"/>
      <c r="C1110" s="37" t="n"/>
      <c r="D1110" s="38">
        <f>IF(C1110="","",IFERROR(INDEX(Anuncios!$B$6:$B$65,MATCH(C1110,Anuncios!$A$6:$A$65,0)),"(no está en Anuncios)"))</f>
        <v/>
      </c>
      <c r="E1110" s="39" t="n"/>
      <c r="F1110" s="40" t="n"/>
      <c r="G1110" s="40" t="n"/>
      <c r="H1110" s="40" t="n"/>
      <c r="I1110" s="39" t="n"/>
      <c r="J1110" s="13">
        <f>IF(N(F1110)&gt;0,G1110/F1110,"")</f>
        <v/>
      </c>
      <c r="K1110" s="10">
        <f>IF(N(G1110)&gt;0,E1110/G1110,"")</f>
        <v/>
      </c>
      <c r="L1110" s="10">
        <f>IF(N(H1110)&gt;0,E1110/H1110,"")</f>
        <v/>
      </c>
      <c r="M1110" s="11">
        <f>IF(N(E1110)&gt;0,I1110/E1110,"")</f>
        <v/>
      </c>
      <c r="N1110" s="10">
        <f>IF(AND(E1110="",I1110=""),"",N(I1110)*(1-COM-COM_SHOP)-N(E1110)*(1+IMP_META))</f>
        <v/>
      </c>
      <c r="O1110" s="37" t="n"/>
    </row>
    <row r="1111">
      <c r="A1111" s="36" t="n"/>
      <c r="B1111" s="37" t="n"/>
      <c r="C1111" s="37" t="n"/>
      <c r="D1111" s="38">
        <f>IF(C1111="","",IFERROR(INDEX(Anuncios!$B$6:$B$65,MATCH(C1111,Anuncios!$A$6:$A$65,0)),"(no está en Anuncios)"))</f>
        <v/>
      </c>
      <c r="E1111" s="39" t="n"/>
      <c r="F1111" s="40" t="n"/>
      <c r="G1111" s="40" t="n"/>
      <c r="H1111" s="40" t="n"/>
      <c r="I1111" s="39" t="n"/>
      <c r="J1111" s="13">
        <f>IF(N(F1111)&gt;0,G1111/F1111,"")</f>
        <v/>
      </c>
      <c r="K1111" s="10">
        <f>IF(N(G1111)&gt;0,E1111/G1111,"")</f>
        <v/>
      </c>
      <c r="L1111" s="10">
        <f>IF(N(H1111)&gt;0,E1111/H1111,"")</f>
        <v/>
      </c>
      <c r="M1111" s="11">
        <f>IF(N(E1111)&gt;0,I1111/E1111,"")</f>
        <v/>
      </c>
      <c r="N1111" s="10">
        <f>IF(AND(E1111="",I1111=""),"",N(I1111)*(1-COM-COM_SHOP)-N(E1111)*(1+IMP_META))</f>
        <v/>
      </c>
      <c r="O1111" s="37" t="n"/>
    </row>
    <row r="1112">
      <c r="A1112" s="36" t="n"/>
      <c r="B1112" s="37" t="n"/>
      <c r="C1112" s="37" t="n"/>
      <c r="D1112" s="38">
        <f>IF(C1112="","",IFERROR(INDEX(Anuncios!$B$6:$B$65,MATCH(C1112,Anuncios!$A$6:$A$65,0)),"(no está en Anuncios)"))</f>
        <v/>
      </c>
      <c r="E1112" s="39" t="n"/>
      <c r="F1112" s="40" t="n"/>
      <c r="G1112" s="40" t="n"/>
      <c r="H1112" s="40" t="n"/>
      <c r="I1112" s="39" t="n"/>
      <c r="J1112" s="13">
        <f>IF(N(F1112)&gt;0,G1112/F1112,"")</f>
        <v/>
      </c>
      <c r="K1112" s="10">
        <f>IF(N(G1112)&gt;0,E1112/G1112,"")</f>
        <v/>
      </c>
      <c r="L1112" s="10">
        <f>IF(N(H1112)&gt;0,E1112/H1112,"")</f>
        <v/>
      </c>
      <c r="M1112" s="11">
        <f>IF(N(E1112)&gt;0,I1112/E1112,"")</f>
        <v/>
      </c>
      <c r="N1112" s="10">
        <f>IF(AND(E1112="",I1112=""),"",N(I1112)*(1-COM-COM_SHOP)-N(E1112)*(1+IMP_META))</f>
        <v/>
      </c>
      <c r="O1112" s="37" t="n"/>
    </row>
    <row r="1113">
      <c r="A1113" s="36" t="n"/>
      <c r="B1113" s="37" t="n"/>
      <c r="C1113" s="37" t="n"/>
      <c r="D1113" s="38">
        <f>IF(C1113="","",IFERROR(INDEX(Anuncios!$B$6:$B$65,MATCH(C1113,Anuncios!$A$6:$A$65,0)),"(no está en Anuncios)"))</f>
        <v/>
      </c>
      <c r="E1113" s="39" t="n"/>
      <c r="F1113" s="40" t="n"/>
      <c r="G1113" s="40" t="n"/>
      <c r="H1113" s="40" t="n"/>
      <c r="I1113" s="39" t="n"/>
      <c r="J1113" s="13">
        <f>IF(N(F1113)&gt;0,G1113/F1113,"")</f>
        <v/>
      </c>
      <c r="K1113" s="10">
        <f>IF(N(G1113)&gt;0,E1113/G1113,"")</f>
        <v/>
      </c>
      <c r="L1113" s="10">
        <f>IF(N(H1113)&gt;0,E1113/H1113,"")</f>
        <v/>
      </c>
      <c r="M1113" s="11">
        <f>IF(N(E1113)&gt;0,I1113/E1113,"")</f>
        <v/>
      </c>
      <c r="N1113" s="10">
        <f>IF(AND(E1113="",I1113=""),"",N(I1113)*(1-COM-COM_SHOP)-N(E1113)*(1+IMP_META))</f>
        <v/>
      </c>
      <c r="O1113" s="37" t="n"/>
    </row>
    <row r="1114">
      <c r="A1114" s="36" t="n"/>
      <c r="B1114" s="37" t="n"/>
      <c r="C1114" s="37" t="n"/>
      <c r="D1114" s="38">
        <f>IF(C1114="","",IFERROR(INDEX(Anuncios!$B$6:$B$65,MATCH(C1114,Anuncios!$A$6:$A$65,0)),"(no está en Anuncios)"))</f>
        <v/>
      </c>
      <c r="E1114" s="39" t="n"/>
      <c r="F1114" s="40" t="n"/>
      <c r="G1114" s="40" t="n"/>
      <c r="H1114" s="40" t="n"/>
      <c r="I1114" s="39" t="n"/>
      <c r="J1114" s="13">
        <f>IF(N(F1114)&gt;0,G1114/F1114,"")</f>
        <v/>
      </c>
      <c r="K1114" s="10">
        <f>IF(N(G1114)&gt;0,E1114/G1114,"")</f>
        <v/>
      </c>
      <c r="L1114" s="10">
        <f>IF(N(H1114)&gt;0,E1114/H1114,"")</f>
        <v/>
      </c>
      <c r="M1114" s="11">
        <f>IF(N(E1114)&gt;0,I1114/E1114,"")</f>
        <v/>
      </c>
      <c r="N1114" s="10">
        <f>IF(AND(E1114="",I1114=""),"",N(I1114)*(1-COM-COM_SHOP)-N(E1114)*(1+IMP_META))</f>
        <v/>
      </c>
      <c r="O1114" s="37" t="n"/>
    </row>
    <row r="1115">
      <c r="A1115" s="36" t="n"/>
      <c r="B1115" s="37" t="n"/>
      <c r="C1115" s="37" t="n"/>
      <c r="D1115" s="38">
        <f>IF(C1115="","",IFERROR(INDEX(Anuncios!$B$6:$B$65,MATCH(C1115,Anuncios!$A$6:$A$65,0)),"(no está en Anuncios)"))</f>
        <v/>
      </c>
      <c r="E1115" s="39" t="n"/>
      <c r="F1115" s="40" t="n"/>
      <c r="G1115" s="40" t="n"/>
      <c r="H1115" s="40" t="n"/>
      <c r="I1115" s="39" t="n"/>
      <c r="J1115" s="13">
        <f>IF(N(F1115)&gt;0,G1115/F1115,"")</f>
        <v/>
      </c>
      <c r="K1115" s="10">
        <f>IF(N(G1115)&gt;0,E1115/G1115,"")</f>
        <v/>
      </c>
      <c r="L1115" s="10">
        <f>IF(N(H1115)&gt;0,E1115/H1115,"")</f>
        <v/>
      </c>
      <c r="M1115" s="11">
        <f>IF(N(E1115)&gt;0,I1115/E1115,"")</f>
        <v/>
      </c>
      <c r="N1115" s="10">
        <f>IF(AND(E1115="",I1115=""),"",N(I1115)*(1-COM-COM_SHOP)-N(E1115)*(1+IMP_META))</f>
        <v/>
      </c>
      <c r="O1115" s="37" t="n"/>
    </row>
    <row r="1116">
      <c r="A1116" s="36" t="n"/>
      <c r="B1116" s="37" t="n"/>
      <c r="C1116" s="37" t="n"/>
      <c r="D1116" s="38">
        <f>IF(C1116="","",IFERROR(INDEX(Anuncios!$B$6:$B$65,MATCH(C1116,Anuncios!$A$6:$A$65,0)),"(no está en Anuncios)"))</f>
        <v/>
      </c>
      <c r="E1116" s="39" t="n"/>
      <c r="F1116" s="40" t="n"/>
      <c r="G1116" s="40" t="n"/>
      <c r="H1116" s="40" t="n"/>
      <c r="I1116" s="39" t="n"/>
      <c r="J1116" s="13">
        <f>IF(N(F1116)&gt;0,G1116/F1116,"")</f>
        <v/>
      </c>
      <c r="K1116" s="10">
        <f>IF(N(G1116)&gt;0,E1116/G1116,"")</f>
        <v/>
      </c>
      <c r="L1116" s="10">
        <f>IF(N(H1116)&gt;0,E1116/H1116,"")</f>
        <v/>
      </c>
      <c r="M1116" s="11">
        <f>IF(N(E1116)&gt;0,I1116/E1116,"")</f>
        <v/>
      </c>
      <c r="N1116" s="10">
        <f>IF(AND(E1116="",I1116=""),"",N(I1116)*(1-COM-COM_SHOP)-N(E1116)*(1+IMP_META))</f>
        <v/>
      </c>
      <c r="O1116" s="37" t="n"/>
    </row>
    <row r="1117">
      <c r="A1117" s="36" t="n"/>
      <c r="B1117" s="37" t="n"/>
      <c r="C1117" s="37" t="n"/>
      <c r="D1117" s="38">
        <f>IF(C1117="","",IFERROR(INDEX(Anuncios!$B$6:$B$65,MATCH(C1117,Anuncios!$A$6:$A$65,0)),"(no está en Anuncios)"))</f>
        <v/>
      </c>
      <c r="E1117" s="39" t="n"/>
      <c r="F1117" s="40" t="n"/>
      <c r="G1117" s="40" t="n"/>
      <c r="H1117" s="40" t="n"/>
      <c r="I1117" s="39" t="n"/>
      <c r="J1117" s="13">
        <f>IF(N(F1117)&gt;0,G1117/F1117,"")</f>
        <v/>
      </c>
      <c r="K1117" s="10">
        <f>IF(N(G1117)&gt;0,E1117/G1117,"")</f>
        <v/>
      </c>
      <c r="L1117" s="10">
        <f>IF(N(H1117)&gt;0,E1117/H1117,"")</f>
        <v/>
      </c>
      <c r="M1117" s="11">
        <f>IF(N(E1117)&gt;0,I1117/E1117,"")</f>
        <v/>
      </c>
      <c r="N1117" s="10">
        <f>IF(AND(E1117="",I1117=""),"",N(I1117)*(1-COM-COM_SHOP)-N(E1117)*(1+IMP_META))</f>
        <v/>
      </c>
      <c r="O1117" s="37" t="n"/>
    </row>
    <row r="1118">
      <c r="A1118" s="36" t="n"/>
      <c r="B1118" s="37" t="n"/>
      <c r="C1118" s="37" t="n"/>
      <c r="D1118" s="38">
        <f>IF(C1118="","",IFERROR(INDEX(Anuncios!$B$6:$B$65,MATCH(C1118,Anuncios!$A$6:$A$65,0)),"(no está en Anuncios)"))</f>
        <v/>
      </c>
      <c r="E1118" s="39" t="n"/>
      <c r="F1118" s="40" t="n"/>
      <c r="G1118" s="40" t="n"/>
      <c r="H1118" s="40" t="n"/>
      <c r="I1118" s="39" t="n"/>
      <c r="J1118" s="13">
        <f>IF(N(F1118)&gt;0,G1118/F1118,"")</f>
        <v/>
      </c>
      <c r="K1118" s="10">
        <f>IF(N(G1118)&gt;0,E1118/G1118,"")</f>
        <v/>
      </c>
      <c r="L1118" s="10">
        <f>IF(N(H1118)&gt;0,E1118/H1118,"")</f>
        <v/>
      </c>
      <c r="M1118" s="11">
        <f>IF(N(E1118)&gt;0,I1118/E1118,"")</f>
        <v/>
      </c>
      <c r="N1118" s="10">
        <f>IF(AND(E1118="",I1118=""),"",N(I1118)*(1-COM-COM_SHOP)-N(E1118)*(1+IMP_META))</f>
        <v/>
      </c>
      <c r="O1118" s="37" t="n"/>
    </row>
    <row r="1119">
      <c r="A1119" s="36" t="n"/>
      <c r="B1119" s="37" t="n"/>
      <c r="C1119" s="37" t="n"/>
      <c r="D1119" s="38">
        <f>IF(C1119="","",IFERROR(INDEX(Anuncios!$B$6:$B$65,MATCH(C1119,Anuncios!$A$6:$A$65,0)),"(no está en Anuncios)"))</f>
        <v/>
      </c>
      <c r="E1119" s="39" t="n"/>
      <c r="F1119" s="40" t="n"/>
      <c r="G1119" s="40" t="n"/>
      <c r="H1119" s="40" t="n"/>
      <c r="I1119" s="39" t="n"/>
      <c r="J1119" s="13">
        <f>IF(N(F1119)&gt;0,G1119/F1119,"")</f>
        <v/>
      </c>
      <c r="K1119" s="10">
        <f>IF(N(G1119)&gt;0,E1119/G1119,"")</f>
        <v/>
      </c>
      <c r="L1119" s="10">
        <f>IF(N(H1119)&gt;0,E1119/H1119,"")</f>
        <v/>
      </c>
      <c r="M1119" s="11">
        <f>IF(N(E1119)&gt;0,I1119/E1119,"")</f>
        <v/>
      </c>
      <c r="N1119" s="10">
        <f>IF(AND(E1119="",I1119=""),"",N(I1119)*(1-COM-COM_SHOP)-N(E1119)*(1+IMP_META))</f>
        <v/>
      </c>
      <c r="O1119" s="37" t="n"/>
    </row>
    <row r="1120">
      <c r="A1120" s="36" t="n"/>
      <c r="B1120" s="37" t="n"/>
      <c r="C1120" s="37" t="n"/>
      <c r="D1120" s="38">
        <f>IF(C1120="","",IFERROR(INDEX(Anuncios!$B$6:$B$65,MATCH(C1120,Anuncios!$A$6:$A$65,0)),"(no está en Anuncios)"))</f>
        <v/>
      </c>
      <c r="E1120" s="39" t="n"/>
      <c r="F1120" s="40" t="n"/>
      <c r="G1120" s="40" t="n"/>
      <c r="H1120" s="40" t="n"/>
      <c r="I1120" s="39" t="n"/>
      <c r="J1120" s="13">
        <f>IF(N(F1120)&gt;0,G1120/F1120,"")</f>
        <v/>
      </c>
      <c r="K1120" s="10">
        <f>IF(N(G1120)&gt;0,E1120/G1120,"")</f>
        <v/>
      </c>
      <c r="L1120" s="10">
        <f>IF(N(H1120)&gt;0,E1120/H1120,"")</f>
        <v/>
      </c>
      <c r="M1120" s="11">
        <f>IF(N(E1120)&gt;0,I1120/E1120,"")</f>
        <v/>
      </c>
      <c r="N1120" s="10">
        <f>IF(AND(E1120="",I1120=""),"",N(I1120)*(1-COM-COM_SHOP)-N(E1120)*(1+IMP_META))</f>
        <v/>
      </c>
      <c r="O1120" s="37" t="n"/>
    </row>
    <row r="1121">
      <c r="A1121" s="36" t="n"/>
      <c r="B1121" s="37" t="n"/>
      <c r="C1121" s="37" t="n"/>
      <c r="D1121" s="38">
        <f>IF(C1121="","",IFERROR(INDEX(Anuncios!$B$6:$B$65,MATCH(C1121,Anuncios!$A$6:$A$65,0)),"(no está en Anuncios)"))</f>
        <v/>
      </c>
      <c r="E1121" s="39" t="n"/>
      <c r="F1121" s="40" t="n"/>
      <c r="G1121" s="40" t="n"/>
      <c r="H1121" s="40" t="n"/>
      <c r="I1121" s="39" t="n"/>
      <c r="J1121" s="13">
        <f>IF(N(F1121)&gt;0,G1121/F1121,"")</f>
        <v/>
      </c>
      <c r="K1121" s="10">
        <f>IF(N(G1121)&gt;0,E1121/G1121,"")</f>
        <v/>
      </c>
      <c r="L1121" s="10">
        <f>IF(N(H1121)&gt;0,E1121/H1121,"")</f>
        <v/>
      </c>
      <c r="M1121" s="11">
        <f>IF(N(E1121)&gt;0,I1121/E1121,"")</f>
        <v/>
      </c>
      <c r="N1121" s="10">
        <f>IF(AND(E1121="",I1121=""),"",N(I1121)*(1-COM-COM_SHOP)-N(E1121)*(1+IMP_META))</f>
        <v/>
      </c>
      <c r="O1121" s="37" t="n"/>
    </row>
    <row r="1122">
      <c r="A1122" s="36" t="n"/>
      <c r="B1122" s="37" t="n"/>
      <c r="C1122" s="37" t="n"/>
      <c r="D1122" s="38">
        <f>IF(C1122="","",IFERROR(INDEX(Anuncios!$B$6:$B$65,MATCH(C1122,Anuncios!$A$6:$A$65,0)),"(no está en Anuncios)"))</f>
        <v/>
      </c>
      <c r="E1122" s="39" t="n"/>
      <c r="F1122" s="40" t="n"/>
      <c r="G1122" s="40" t="n"/>
      <c r="H1122" s="40" t="n"/>
      <c r="I1122" s="39" t="n"/>
      <c r="J1122" s="13">
        <f>IF(N(F1122)&gt;0,G1122/F1122,"")</f>
        <v/>
      </c>
      <c r="K1122" s="10">
        <f>IF(N(G1122)&gt;0,E1122/G1122,"")</f>
        <v/>
      </c>
      <c r="L1122" s="10">
        <f>IF(N(H1122)&gt;0,E1122/H1122,"")</f>
        <v/>
      </c>
      <c r="M1122" s="11">
        <f>IF(N(E1122)&gt;0,I1122/E1122,"")</f>
        <v/>
      </c>
      <c r="N1122" s="10">
        <f>IF(AND(E1122="",I1122=""),"",N(I1122)*(1-COM-COM_SHOP)-N(E1122)*(1+IMP_META))</f>
        <v/>
      </c>
      <c r="O1122" s="37" t="n"/>
    </row>
    <row r="1123">
      <c r="A1123" s="36" t="n"/>
      <c r="B1123" s="37" t="n"/>
      <c r="C1123" s="37" t="n"/>
      <c r="D1123" s="38">
        <f>IF(C1123="","",IFERROR(INDEX(Anuncios!$B$6:$B$65,MATCH(C1123,Anuncios!$A$6:$A$65,0)),"(no está en Anuncios)"))</f>
        <v/>
      </c>
      <c r="E1123" s="39" t="n"/>
      <c r="F1123" s="40" t="n"/>
      <c r="G1123" s="40" t="n"/>
      <c r="H1123" s="40" t="n"/>
      <c r="I1123" s="39" t="n"/>
      <c r="J1123" s="13">
        <f>IF(N(F1123)&gt;0,G1123/F1123,"")</f>
        <v/>
      </c>
      <c r="K1123" s="10">
        <f>IF(N(G1123)&gt;0,E1123/G1123,"")</f>
        <v/>
      </c>
      <c r="L1123" s="10">
        <f>IF(N(H1123)&gt;0,E1123/H1123,"")</f>
        <v/>
      </c>
      <c r="M1123" s="11">
        <f>IF(N(E1123)&gt;0,I1123/E1123,"")</f>
        <v/>
      </c>
      <c r="N1123" s="10">
        <f>IF(AND(E1123="",I1123=""),"",N(I1123)*(1-COM-COM_SHOP)-N(E1123)*(1+IMP_META))</f>
        <v/>
      </c>
      <c r="O1123" s="37" t="n"/>
    </row>
    <row r="1124">
      <c r="A1124" s="36" t="n"/>
      <c r="B1124" s="37" t="n"/>
      <c r="C1124" s="37" t="n"/>
      <c r="D1124" s="38">
        <f>IF(C1124="","",IFERROR(INDEX(Anuncios!$B$6:$B$65,MATCH(C1124,Anuncios!$A$6:$A$65,0)),"(no está en Anuncios)"))</f>
        <v/>
      </c>
      <c r="E1124" s="39" t="n"/>
      <c r="F1124" s="40" t="n"/>
      <c r="G1124" s="40" t="n"/>
      <c r="H1124" s="40" t="n"/>
      <c r="I1124" s="39" t="n"/>
      <c r="J1124" s="13">
        <f>IF(N(F1124)&gt;0,G1124/F1124,"")</f>
        <v/>
      </c>
      <c r="K1124" s="10">
        <f>IF(N(G1124)&gt;0,E1124/G1124,"")</f>
        <v/>
      </c>
      <c r="L1124" s="10">
        <f>IF(N(H1124)&gt;0,E1124/H1124,"")</f>
        <v/>
      </c>
      <c r="M1124" s="11">
        <f>IF(N(E1124)&gt;0,I1124/E1124,"")</f>
        <v/>
      </c>
      <c r="N1124" s="10">
        <f>IF(AND(E1124="",I1124=""),"",N(I1124)*(1-COM-COM_SHOP)-N(E1124)*(1+IMP_META))</f>
        <v/>
      </c>
      <c r="O1124" s="37" t="n"/>
    </row>
    <row r="1125">
      <c r="A1125" s="36" t="n"/>
      <c r="B1125" s="37" t="n"/>
      <c r="C1125" s="37" t="n"/>
      <c r="D1125" s="38">
        <f>IF(C1125="","",IFERROR(INDEX(Anuncios!$B$6:$B$65,MATCH(C1125,Anuncios!$A$6:$A$65,0)),"(no está en Anuncios)"))</f>
        <v/>
      </c>
      <c r="E1125" s="39" t="n"/>
      <c r="F1125" s="40" t="n"/>
      <c r="G1125" s="40" t="n"/>
      <c r="H1125" s="40" t="n"/>
      <c r="I1125" s="39" t="n"/>
      <c r="J1125" s="13">
        <f>IF(N(F1125)&gt;0,G1125/F1125,"")</f>
        <v/>
      </c>
      <c r="K1125" s="10">
        <f>IF(N(G1125)&gt;0,E1125/G1125,"")</f>
        <v/>
      </c>
      <c r="L1125" s="10">
        <f>IF(N(H1125)&gt;0,E1125/H1125,"")</f>
        <v/>
      </c>
      <c r="M1125" s="11">
        <f>IF(N(E1125)&gt;0,I1125/E1125,"")</f>
        <v/>
      </c>
      <c r="N1125" s="10">
        <f>IF(AND(E1125="",I1125=""),"",N(I1125)*(1-COM-COM_SHOP)-N(E1125)*(1+IMP_META))</f>
        <v/>
      </c>
      <c r="O1125" s="37" t="n"/>
    </row>
    <row r="1126">
      <c r="A1126" s="36" t="n"/>
      <c r="B1126" s="37" t="n"/>
      <c r="C1126" s="37" t="n"/>
      <c r="D1126" s="38">
        <f>IF(C1126="","",IFERROR(INDEX(Anuncios!$B$6:$B$65,MATCH(C1126,Anuncios!$A$6:$A$65,0)),"(no está en Anuncios)"))</f>
        <v/>
      </c>
      <c r="E1126" s="39" t="n"/>
      <c r="F1126" s="40" t="n"/>
      <c r="G1126" s="40" t="n"/>
      <c r="H1126" s="40" t="n"/>
      <c r="I1126" s="39" t="n"/>
      <c r="J1126" s="13">
        <f>IF(N(F1126)&gt;0,G1126/F1126,"")</f>
        <v/>
      </c>
      <c r="K1126" s="10">
        <f>IF(N(G1126)&gt;0,E1126/G1126,"")</f>
        <v/>
      </c>
      <c r="L1126" s="10">
        <f>IF(N(H1126)&gt;0,E1126/H1126,"")</f>
        <v/>
      </c>
      <c r="M1126" s="11">
        <f>IF(N(E1126)&gt;0,I1126/E1126,"")</f>
        <v/>
      </c>
      <c r="N1126" s="10">
        <f>IF(AND(E1126="",I1126=""),"",N(I1126)*(1-COM-COM_SHOP)-N(E1126)*(1+IMP_META))</f>
        <v/>
      </c>
      <c r="O1126" s="37" t="n"/>
    </row>
    <row r="1127">
      <c r="A1127" s="36" t="n"/>
      <c r="B1127" s="37" t="n"/>
      <c r="C1127" s="37" t="n"/>
      <c r="D1127" s="38">
        <f>IF(C1127="","",IFERROR(INDEX(Anuncios!$B$6:$B$65,MATCH(C1127,Anuncios!$A$6:$A$65,0)),"(no está en Anuncios)"))</f>
        <v/>
      </c>
      <c r="E1127" s="39" t="n"/>
      <c r="F1127" s="40" t="n"/>
      <c r="G1127" s="40" t="n"/>
      <c r="H1127" s="40" t="n"/>
      <c r="I1127" s="39" t="n"/>
      <c r="J1127" s="13">
        <f>IF(N(F1127)&gt;0,G1127/F1127,"")</f>
        <v/>
      </c>
      <c r="K1127" s="10">
        <f>IF(N(G1127)&gt;0,E1127/G1127,"")</f>
        <v/>
      </c>
      <c r="L1127" s="10">
        <f>IF(N(H1127)&gt;0,E1127/H1127,"")</f>
        <v/>
      </c>
      <c r="M1127" s="11">
        <f>IF(N(E1127)&gt;0,I1127/E1127,"")</f>
        <v/>
      </c>
      <c r="N1127" s="10">
        <f>IF(AND(E1127="",I1127=""),"",N(I1127)*(1-COM-COM_SHOP)-N(E1127)*(1+IMP_META))</f>
        <v/>
      </c>
      <c r="O1127" s="37" t="n"/>
    </row>
    <row r="1128">
      <c r="A1128" s="36" t="n"/>
      <c r="B1128" s="37" t="n"/>
      <c r="C1128" s="37" t="n"/>
      <c r="D1128" s="38">
        <f>IF(C1128="","",IFERROR(INDEX(Anuncios!$B$6:$B$65,MATCH(C1128,Anuncios!$A$6:$A$65,0)),"(no está en Anuncios)"))</f>
        <v/>
      </c>
      <c r="E1128" s="39" t="n"/>
      <c r="F1128" s="40" t="n"/>
      <c r="G1128" s="40" t="n"/>
      <c r="H1128" s="40" t="n"/>
      <c r="I1128" s="39" t="n"/>
      <c r="J1128" s="13">
        <f>IF(N(F1128)&gt;0,G1128/F1128,"")</f>
        <v/>
      </c>
      <c r="K1128" s="10">
        <f>IF(N(G1128)&gt;0,E1128/G1128,"")</f>
        <v/>
      </c>
      <c r="L1128" s="10">
        <f>IF(N(H1128)&gt;0,E1128/H1128,"")</f>
        <v/>
      </c>
      <c r="M1128" s="11">
        <f>IF(N(E1128)&gt;0,I1128/E1128,"")</f>
        <v/>
      </c>
      <c r="N1128" s="10">
        <f>IF(AND(E1128="",I1128=""),"",N(I1128)*(1-COM-COM_SHOP)-N(E1128)*(1+IMP_META))</f>
        <v/>
      </c>
      <c r="O1128" s="37" t="n"/>
    </row>
    <row r="1129">
      <c r="A1129" s="36" t="n"/>
      <c r="B1129" s="37" t="n"/>
      <c r="C1129" s="37" t="n"/>
      <c r="D1129" s="38">
        <f>IF(C1129="","",IFERROR(INDEX(Anuncios!$B$6:$B$65,MATCH(C1129,Anuncios!$A$6:$A$65,0)),"(no está en Anuncios)"))</f>
        <v/>
      </c>
      <c r="E1129" s="39" t="n"/>
      <c r="F1129" s="40" t="n"/>
      <c r="G1129" s="40" t="n"/>
      <c r="H1129" s="40" t="n"/>
      <c r="I1129" s="39" t="n"/>
      <c r="J1129" s="13">
        <f>IF(N(F1129)&gt;0,G1129/F1129,"")</f>
        <v/>
      </c>
      <c r="K1129" s="10">
        <f>IF(N(G1129)&gt;0,E1129/G1129,"")</f>
        <v/>
      </c>
      <c r="L1129" s="10">
        <f>IF(N(H1129)&gt;0,E1129/H1129,"")</f>
        <v/>
      </c>
      <c r="M1129" s="11">
        <f>IF(N(E1129)&gt;0,I1129/E1129,"")</f>
        <v/>
      </c>
      <c r="N1129" s="10">
        <f>IF(AND(E1129="",I1129=""),"",N(I1129)*(1-COM-COM_SHOP)-N(E1129)*(1+IMP_META))</f>
        <v/>
      </c>
      <c r="O1129" s="37" t="n"/>
    </row>
    <row r="1130">
      <c r="A1130" s="36" t="n"/>
      <c r="B1130" s="37" t="n"/>
      <c r="C1130" s="37" t="n"/>
      <c r="D1130" s="38">
        <f>IF(C1130="","",IFERROR(INDEX(Anuncios!$B$6:$B$65,MATCH(C1130,Anuncios!$A$6:$A$65,0)),"(no está en Anuncios)"))</f>
        <v/>
      </c>
      <c r="E1130" s="39" t="n"/>
      <c r="F1130" s="40" t="n"/>
      <c r="G1130" s="40" t="n"/>
      <c r="H1130" s="40" t="n"/>
      <c r="I1130" s="39" t="n"/>
      <c r="J1130" s="13">
        <f>IF(N(F1130)&gt;0,G1130/F1130,"")</f>
        <v/>
      </c>
      <c r="K1130" s="10">
        <f>IF(N(G1130)&gt;0,E1130/G1130,"")</f>
        <v/>
      </c>
      <c r="L1130" s="10">
        <f>IF(N(H1130)&gt;0,E1130/H1130,"")</f>
        <v/>
      </c>
      <c r="M1130" s="11">
        <f>IF(N(E1130)&gt;0,I1130/E1130,"")</f>
        <v/>
      </c>
      <c r="N1130" s="10">
        <f>IF(AND(E1130="",I1130=""),"",N(I1130)*(1-COM-COM_SHOP)-N(E1130)*(1+IMP_META))</f>
        <v/>
      </c>
      <c r="O1130" s="37" t="n"/>
    </row>
    <row r="1131">
      <c r="A1131" s="36" t="n"/>
      <c r="B1131" s="37" t="n"/>
      <c r="C1131" s="37" t="n"/>
      <c r="D1131" s="38">
        <f>IF(C1131="","",IFERROR(INDEX(Anuncios!$B$6:$B$65,MATCH(C1131,Anuncios!$A$6:$A$65,0)),"(no está en Anuncios)"))</f>
        <v/>
      </c>
      <c r="E1131" s="39" t="n"/>
      <c r="F1131" s="40" t="n"/>
      <c r="G1131" s="40" t="n"/>
      <c r="H1131" s="40" t="n"/>
      <c r="I1131" s="39" t="n"/>
      <c r="J1131" s="13">
        <f>IF(N(F1131)&gt;0,G1131/F1131,"")</f>
        <v/>
      </c>
      <c r="K1131" s="10">
        <f>IF(N(G1131)&gt;0,E1131/G1131,"")</f>
        <v/>
      </c>
      <c r="L1131" s="10">
        <f>IF(N(H1131)&gt;0,E1131/H1131,"")</f>
        <v/>
      </c>
      <c r="M1131" s="11">
        <f>IF(N(E1131)&gt;0,I1131/E1131,"")</f>
        <v/>
      </c>
      <c r="N1131" s="10">
        <f>IF(AND(E1131="",I1131=""),"",N(I1131)*(1-COM-COM_SHOP)-N(E1131)*(1+IMP_META))</f>
        <v/>
      </c>
      <c r="O1131" s="37" t="n"/>
    </row>
    <row r="1132">
      <c r="A1132" s="36" t="n"/>
      <c r="B1132" s="37" t="n"/>
      <c r="C1132" s="37" t="n"/>
      <c r="D1132" s="38">
        <f>IF(C1132="","",IFERROR(INDEX(Anuncios!$B$6:$B$65,MATCH(C1132,Anuncios!$A$6:$A$65,0)),"(no está en Anuncios)"))</f>
        <v/>
      </c>
      <c r="E1132" s="39" t="n"/>
      <c r="F1132" s="40" t="n"/>
      <c r="G1132" s="40" t="n"/>
      <c r="H1132" s="40" t="n"/>
      <c r="I1132" s="39" t="n"/>
      <c r="J1132" s="13">
        <f>IF(N(F1132)&gt;0,G1132/F1132,"")</f>
        <v/>
      </c>
      <c r="K1132" s="10">
        <f>IF(N(G1132)&gt;0,E1132/G1132,"")</f>
        <v/>
      </c>
      <c r="L1132" s="10">
        <f>IF(N(H1132)&gt;0,E1132/H1132,"")</f>
        <v/>
      </c>
      <c r="M1132" s="11">
        <f>IF(N(E1132)&gt;0,I1132/E1132,"")</f>
        <v/>
      </c>
      <c r="N1132" s="10">
        <f>IF(AND(E1132="",I1132=""),"",N(I1132)*(1-COM-COM_SHOP)-N(E1132)*(1+IMP_META))</f>
        <v/>
      </c>
      <c r="O1132" s="37" t="n"/>
    </row>
    <row r="1133">
      <c r="A1133" s="36" t="n"/>
      <c r="B1133" s="37" t="n"/>
      <c r="C1133" s="37" t="n"/>
      <c r="D1133" s="38">
        <f>IF(C1133="","",IFERROR(INDEX(Anuncios!$B$6:$B$65,MATCH(C1133,Anuncios!$A$6:$A$65,0)),"(no está en Anuncios)"))</f>
        <v/>
      </c>
      <c r="E1133" s="39" t="n"/>
      <c r="F1133" s="40" t="n"/>
      <c r="G1133" s="40" t="n"/>
      <c r="H1133" s="40" t="n"/>
      <c r="I1133" s="39" t="n"/>
      <c r="J1133" s="13">
        <f>IF(N(F1133)&gt;0,G1133/F1133,"")</f>
        <v/>
      </c>
      <c r="K1133" s="10">
        <f>IF(N(G1133)&gt;0,E1133/G1133,"")</f>
        <v/>
      </c>
      <c r="L1133" s="10">
        <f>IF(N(H1133)&gt;0,E1133/H1133,"")</f>
        <v/>
      </c>
      <c r="M1133" s="11">
        <f>IF(N(E1133)&gt;0,I1133/E1133,"")</f>
        <v/>
      </c>
      <c r="N1133" s="10">
        <f>IF(AND(E1133="",I1133=""),"",N(I1133)*(1-COM-COM_SHOP)-N(E1133)*(1+IMP_META))</f>
        <v/>
      </c>
      <c r="O1133" s="37" t="n"/>
    </row>
    <row r="1134">
      <c r="A1134" s="36" t="n"/>
      <c r="B1134" s="37" t="n"/>
      <c r="C1134" s="37" t="n"/>
      <c r="D1134" s="38">
        <f>IF(C1134="","",IFERROR(INDEX(Anuncios!$B$6:$B$65,MATCH(C1134,Anuncios!$A$6:$A$65,0)),"(no está en Anuncios)"))</f>
        <v/>
      </c>
      <c r="E1134" s="39" t="n"/>
      <c r="F1134" s="40" t="n"/>
      <c r="G1134" s="40" t="n"/>
      <c r="H1134" s="40" t="n"/>
      <c r="I1134" s="39" t="n"/>
      <c r="J1134" s="13">
        <f>IF(N(F1134)&gt;0,G1134/F1134,"")</f>
        <v/>
      </c>
      <c r="K1134" s="10">
        <f>IF(N(G1134)&gt;0,E1134/G1134,"")</f>
        <v/>
      </c>
      <c r="L1134" s="10">
        <f>IF(N(H1134)&gt;0,E1134/H1134,"")</f>
        <v/>
      </c>
      <c r="M1134" s="11">
        <f>IF(N(E1134)&gt;0,I1134/E1134,"")</f>
        <v/>
      </c>
      <c r="N1134" s="10">
        <f>IF(AND(E1134="",I1134=""),"",N(I1134)*(1-COM-COM_SHOP)-N(E1134)*(1+IMP_META))</f>
        <v/>
      </c>
      <c r="O1134" s="37" t="n"/>
    </row>
    <row r="1135">
      <c r="A1135" s="36" t="n"/>
      <c r="B1135" s="37" t="n"/>
      <c r="C1135" s="37" t="n"/>
      <c r="D1135" s="38">
        <f>IF(C1135="","",IFERROR(INDEX(Anuncios!$B$6:$B$65,MATCH(C1135,Anuncios!$A$6:$A$65,0)),"(no está en Anuncios)"))</f>
        <v/>
      </c>
      <c r="E1135" s="39" t="n"/>
      <c r="F1135" s="40" t="n"/>
      <c r="G1135" s="40" t="n"/>
      <c r="H1135" s="40" t="n"/>
      <c r="I1135" s="39" t="n"/>
      <c r="J1135" s="13">
        <f>IF(N(F1135)&gt;0,G1135/F1135,"")</f>
        <v/>
      </c>
      <c r="K1135" s="10">
        <f>IF(N(G1135)&gt;0,E1135/G1135,"")</f>
        <v/>
      </c>
      <c r="L1135" s="10">
        <f>IF(N(H1135)&gt;0,E1135/H1135,"")</f>
        <v/>
      </c>
      <c r="M1135" s="11">
        <f>IF(N(E1135)&gt;0,I1135/E1135,"")</f>
        <v/>
      </c>
      <c r="N1135" s="10">
        <f>IF(AND(E1135="",I1135=""),"",N(I1135)*(1-COM-COM_SHOP)-N(E1135)*(1+IMP_META))</f>
        <v/>
      </c>
      <c r="O1135" s="37" t="n"/>
    </row>
    <row r="1136">
      <c r="A1136" s="36" t="n"/>
      <c r="B1136" s="37" t="n"/>
      <c r="C1136" s="37" t="n"/>
      <c r="D1136" s="38">
        <f>IF(C1136="","",IFERROR(INDEX(Anuncios!$B$6:$B$65,MATCH(C1136,Anuncios!$A$6:$A$65,0)),"(no está en Anuncios)"))</f>
        <v/>
      </c>
      <c r="E1136" s="39" t="n"/>
      <c r="F1136" s="40" t="n"/>
      <c r="G1136" s="40" t="n"/>
      <c r="H1136" s="40" t="n"/>
      <c r="I1136" s="39" t="n"/>
      <c r="J1136" s="13">
        <f>IF(N(F1136)&gt;0,G1136/F1136,"")</f>
        <v/>
      </c>
      <c r="K1136" s="10">
        <f>IF(N(G1136)&gt;0,E1136/G1136,"")</f>
        <v/>
      </c>
      <c r="L1136" s="10">
        <f>IF(N(H1136)&gt;0,E1136/H1136,"")</f>
        <v/>
      </c>
      <c r="M1136" s="11">
        <f>IF(N(E1136)&gt;0,I1136/E1136,"")</f>
        <v/>
      </c>
      <c r="N1136" s="10">
        <f>IF(AND(E1136="",I1136=""),"",N(I1136)*(1-COM-COM_SHOP)-N(E1136)*(1+IMP_META))</f>
        <v/>
      </c>
      <c r="O1136" s="37" t="n"/>
    </row>
    <row r="1137">
      <c r="A1137" s="36" t="n"/>
      <c r="B1137" s="37" t="n"/>
      <c r="C1137" s="37" t="n"/>
      <c r="D1137" s="38">
        <f>IF(C1137="","",IFERROR(INDEX(Anuncios!$B$6:$B$65,MATCH(C1137,Anuncios!$A$6:$A$65,0)),"(no está en Anuncios)"))</f>
        <v/>
      </c>
      <c r="E1137" s="39" t="n"/>
      <c r="F1137" s="40" t="n"/>
      <c r="G1137" s="40" t="n"/>
      <c r="H1137" s="40" t="n"/>
      <c r="I1137" s="39" t="n"/>
      <c r="J1137" s="13">
        <f>IF(N(F1137)&gt;0,G1137/F1137,"")</f>
        <v/>
      </c>
      <c r="K1137" s="10">
        <f>IF(N(G1137)&gt;0,E1137/G1137,"")</f>
        <v/>
      </c>
      <c r="L1137" s="10">
        <f>IF(N(H1137)&gt;0,E1137/H1137,"")</f>
        <v/>
      </c>
      <c r="M1137" s="11">
        <f>IF(N(E1137)&gt;0,I1137/E1137,"")</f>
        <v/>
      </c>
      <c r="N1137" s="10">
        <f>IF(AND(E1137="",I1137=""),"",N(I1137)*(1-COM-COM_SHOP)-N(E1137)*(1+IMP_META))</f>
        <v/>
      </c>
      <c r="O1137" s="37" t="n"/>
    </row>
    <row r="1138">
      <c r="A1138" s="36" t="n"/>
      <c r="B1138" s="37" t="n"/>
      <c r="C1138" s="37" t="n"/>
      <c r="D1138" s="38">
        <f>IF(C1138="","",IFERROR(INDEX(Anuncios!$B$6:$B$65,MATCH(C1138,Anuncios!$A$6:$A$65,0)),"(no está en Anuncios)"))</f>
        <v/>
      </c>
      <c r="E1138" s="39" t="n"/>
      <c r="F1138" s="40" t="n"/>
      <c r="G1138" s="40" t="n"/>
      <c r="H1138" s="40" t="n"/>
      <c r="I1138" s="39" t="n"/>
      <c r="J1138" s="13">
        <f>IF(N(F1138)&gt;0,G1138/F1138,"")</f>
        <v/>
      </c>
      <c r="K1138" s="10">
        <f>IF(N(G1138)&gt;0,E1138/G1138,"")</f>
        <v/>
      </c>
      <c r="L1138" s="10">
        <f>IF(N(H1138)&gt;0,E1138/H1138,"")</f>
        <v/>
      </c>
      <c r="M1138" s="11">
        <f>IF(N(E1138)&gt;0,I1138/E1138,"")</f>
        <v/>
      </c>
      <c r="N1138" s="10">
        <f>IF(AND(E1138="",I1138=""),"",N(I1138)*(1-COM-COM_SHOP)-N(E1138)*(1+IMP_META))</f>
        <v/>
      </c>
      <c r="O1138" s="37" t="n"/>
    </row>
    <row r="1139">
      <c r="A1139" s="36" t="n"/>
      <c r="B1139" s="37" t="n"/>
      <c r="C1139" s="37" t="n"/>
      <c r="D1139" s="38">
        <f>IF(C1139="","",IFERROR(INDEX(Anuncios!$B$6:$B$65,MATCH(C1139,Anuncios!$A$6:$A$65,0)),"(no está en Anuncios)"))</f>
        <v/>
      </c>
      <c r="E1139" s="39" t="n"/>
      <c r="F1139" s="40" t="n"/>
      <c r="G1139" s="40" t="n"/>
      <c r="H1139" s="40" t="n"/>
      <c r="I1139" s="39" t="n"/>
      <c r="J1139" s="13">
        <f>IF(N(F1139)&gt;0,G1139/F1139,"")</f>
        <v/>
      </c>
      <c r="K1139" s="10">
        <f>IF(N(G1139)&gt;0,E1139/G1139,"")</f>
        <v/>
      </c>
      <c r="L1139" s="10">
        <f>IF(N(H1139)&gt;0,E1139/H1139,"")</f>
        <v/>
      </c>
      <c r="M1139" s="11">
        <f>IF(N(E1139)&gt;0,I1139/E1139,"")</f>
        <v/>
      </c>
      <c r="N1139" s="10">
        <f>IF(AND(E1139="",I1139=""),"",N(I1139)*(1-COM-COM_SHOP)-N(E1139)*(1+IMP_META))</f>
        <v/>
      </c>
      <c r="O1139" s="37" t="n"/>
    </row>
    <row r="1140">
      <c r="A1140" s="36" t="n"/>
      <c r="B1140" s="37" t="n"/>
      <c r="C1140" s="37" t="n"/>
      <c r="D1140" s="38">
        <f>IF(C1140="","",IFERROR(INDEX(Anuncios!$B$6:$B$65,MATCH(C1140,Anuncios!$A$6:$A$65,0)),"(no está en Anuncios)"))</f>
        <v/>
      </c>
      <c r="E1140" s="39" t="n"/>
      <c r="F1140" s="40" t="n"/>
      <c r="G1140" s="40" t="n"/>
      <c r="H1140" s="40" t="n"/>
      <c r="I1140" s="39" t="n"/>
      <c r="J1140" s="13">
        <f>IF(N(F1140)&gt;0,G1140/F1140,"")</f>
        <v/>
      </c>
      <c r="K1140" s="10">
        <f>IF(N(G1140)&gt;0,E1140/G1140,"")</f>
        <v/>
      </c>
      <c r="L1140" s="10">
        <f>IF(N(H1140)&gt;0,E1140/H1140,"")</f>
        <v/>
      </c>
      <c r="M1140" s="11">
        <f>IF(N(E1140)&gt;0,I1140/E1140,"")</f>
        <v/>
      </c>
      <c r="N1140" s="10">
        <f>IF(AND(E1140="",I1140=""),"",N(I1140)*(1-COM-COM_SHOP)-N(E1140)*(1+IMP_META))</f>
        <v/>
      </c>
      <c r="O1140" s="37" t="n"/>
    </row>
    <row r="1141">
      <c r="A1141" s="36" t="n"/>
      <c r="B1141" s="37" t="n"/>
      <c r="C1141" s="37" t="n"/>
      <c r="D1141" s="38">
        <f>IF(C1141="","",IFERROR(INDEX(Anuncios!$B$6:$B$65,MATCH(C1141,Anuncios!$A$6:$A$65,0)),"(no está en Anuncios)"))</f>
        <v/>
      </c>
      <c r="E1141" s="39" t="n"/>
      <c r="F1141" s="40" t="n"/>
      <c r="G1141" s="40" t="n"/>
      <c r="H1141" s="40" t="n"/>
      <c r="I1141" s="39" t="n"/>
      <c r="J1141" s="13">
        <f>IF(N(F1141)&gt;0,G1141/F1141,"")</f>
        <v/>
      </c>
      <c r="K1141" s="10">
        <f>IF(N(G1141)&gt;0,E1141/G1141,"")</f>
        <v/>
      </c>
      <c r="L1141" s="10">
        <f>IF(N(H1141)&gt;0,E1141/H1141,"")</f>
        <v/>
      </c>
      <c r="M1141" s="11">
        <f>IF(N(E1141)&gt;0,I1141/E1141,"")</f>
        <v/>
      </c>
      <c r="N1141" s="10">
        <f>IF(AND(E1141="",I1141=""),"",N(I1141)*(1-COM-COM_SHOP)-N(E1141)*(1+IMP_META))</f>
        <v/>
      </c>
      <c r="O1141" s="37" t="n"/>
    </row>
    <row r="1142">
      <c r="A1142" s="36" t="n"/>
      <c r="B1142" s="37" t="n"/>
      <c r="C1142" s="37" t="n"/>
      <c r="D1142" s="38">
        <f>IF(C1142="","",IFERROR(INDEX(Anuncios!$B$6:$B$65,MATCH(C1142,Anuncios!$A$6:$A$65,0)),"(no está en Anuncios)"))</f>
        <v/>
      </c>
      <c r="E1142" s="39" t="n"/>
      <c r="F1142" s="40" t="n"/>
      <c r="G1142" s="40" t="n"/>
      <c r="H1142" s="40" t="n"/>
      <c r="I1142" s="39" t="n"/>
      <c r="J1142" s="13">
        <f>IF(N(F1142)&gt;0,G1142/F1142,"")</f>
        <v/>
      </c>
      <c r="K1142" s="10">
        <f>IF(N(G1142)&gt;0,E1142/G1142,"")</f>
        <v/>
      </c>
      <c r="L1142" s="10">
        <f>IF(N(H1142)&gt;0,E1142/H1142,"")</f>
        <v/>
      </c>
      <c r="M1142" s="11">
        <f>IF(N(E1142)&gt;0,I1142/E1142,"")</f>
        <v/>
      </c>
      <c r="N1142" s="10">
        <f>IF(AND(E1142="",I1142=""),"",N(I1142)*(1-COM-COM_SHOP)-N(E1142)*(1+IMP_META))</f>
        <v/>
      </c>
      <c r="O1142" s="37" t="n"/>
    </row>
    <row r="1143">
      <c r="A1143" s="36" t="n"/>
      <c r="B1143" s="37" t="n"/>
      <c r="C1143" s="37" t="n"/>
      <c r="D1143" s="38">
        <f>IF(C1143="","",IFERROR(INDEX(Anuncios!$B$6:$B$65,MATCH(C1143,Anuncios!$A$6:$A$65,0)),"(no está en Anuncios)"))</f>
        <v/>
      </c>
      <c r="E1143" s="39" t="n"/>
      <c r="F1143" s="40" t="n"/>
      <c r="G1143" s="40" t="n"/>
      <c r="H1143" s="40" t="n"/>
      <c r="I1143" s="39" t="n"/>
      <c r="J1143" s="13">
        <f>IF(N(F1143)&gt;0,G1143/F1143,"")</f>
        <v/>
      </c>
      <c r="K1143" s="10">
        <f>IF(N(G1143)&gt;0,E1143/G1143,"")</f>
        <v/>
      </c>
      <c r="L1143" s="10">
        <f>IF(N(H1143)&gt;0,E1143/H1143,"")</f>
        <v/>
      </c>
      <c r="M1143" s="11">
        <f>IF(N(E1143)&gt;0,I1143/E1143,"")</f>
        <v/>
      </c>
      <c r="N1143" s="10">
        <f>IF(AND(E1143="",I1143=""),"",N(I1143)*(1-COM-COM_SHOP)-N(E1143)*(1+IMP_META))</f>
        <v/>
      </c>
      <c r="O1143" s="37" t="n"/>
    </row>
    <row r="1144">
      <c r="A1144" s="36" t="n"/>
      <c r="B1144" s="37" t="n"/>
      <c r="C1144" s="37" t="n"/>
      <c r="D1144" s="38">
        <f>IF(C1144="","",IFERROR(INDEX(Anuncios!$B$6:$B$65,MATCH(C1144,Anuncios!$A$6:$A$65,0)),"(no está en Anuncios)"))</f>
        <v/>
      </c>
      <c r="E1144" s="39" t="n"/>
      <c r="F1144" s="40" t="n"/>
      <c r="G1144" s="40" t="n"/>
      <c r="H1144" s="40" t="n"/>
      <c r="I1144" s="39" t="n"/>
      <c r="J1144" s="13">
        <f>IF(N(F1144)&gt;0,G1144/F1144,"")</f>
        <v/>
      </c>
      <c r="K1144" s="10">
        <f>IF(N(G1144)&gt;0,E1144/G1144,"")</f>
        <v/>
      </c>
      <c r="L1144" s="10">
        <f>IF(N(H1144)&gt;0,E1144/H1144,"")</f>
        <v/>
      </c>
      <c r="M1144" s="11">
        <f>IF(N(E1144)&gt;0,I1144/E1144,"")</f>
        <v/>
      </c>
      <c r="N1144" s="10">
        <f>IF(AND(E1144="",I1144=""),"",N(I1144)*(1-COM-COM_SHOP)-N(E1144)*(1+IMP_META))</f>
        <v/>
      </c>
      <c r="O1144" s="37" t="n"/>
    </row>
    <row r="1145">
      <c r="A1145" s="36" t="n"/>
      <c r="B1145" s="37" t="n"/>
      <c r="C1145" s="37" t="n"/>
      <c r="D1145" s="38">
        <f>IF(C1145="","",IFERROR(INDEX(Anuncios!$B$6:$B$65,MATCH(C1145,Anuncios!$A$6:$A$65,0)),"(no está en Anuncios)"))</f>
        <v/>
      </c>
      <c r="E1145" s="39" t="n"/>
      <c r="F1145" s="40" t="n"/>
      <c r="G1145" s="40" t="n"/>
      <c r="H1145" s="40" t="n"/>
      <c r="I1145" s="39" t="n"/>
      <c r="J1145" s="13">
        <f>IF(N(F1145)&gt;0,G1145/F1145,"")</f>
        <v/>
      </c>
      <c r="K1145" s="10">
        <f>IF(N(G1145)&gt;0,E1145/G1145,"")</f>
        <v/>
      </c>
      <c r="L1145" s="10">
        <f>IF(N(H1145)&gt;0,E1145/H1145,"")</f>
        <v/>
      </c>
      <c r="M1145" s="11">
        <f>IF(N(E1145)&gt;0,I1145/E1145,"")</f>
        <v/>
      </c>
      <c r="N1145" s="10">
        <f>IF(AND(E1145="",I1145=""),"",N(I1145)*(1-COM-COM_SHOP)-N(E1145)*(1+IMP_META))</f>
        <v/>
      </c>
      <c r="O1145" s="37" t="n"/>
    </row>
    <row r="1146">
      <c r="A1146" s="36" t="n"/>
      <c r="B1146" s="37" t="n"/>
      <c r="C1146" s="37" t="n"/>
      <c r="D1146" s="38">
        <f>IF(C1146="","",IFERROR(INDEX(Anuncios!$B$6:$B$65,MATCH(C1146,Anuncios!$A$6:$A$65,0)),"(no está en Anuncios)"))</f>
        <v/>
      </c>
      <c r="E1146" s="39" t="n"/>
      <c r="F1146" s="40" t="n"/>
      <c r="G1146" s="40" t="n"/>
      <c r="H1146" s="40" t="n"/>
      <c r="I1146" s="39" t="n"/>
      <c r="J1146" s="13">
        <f>IF(N(F1146)&gt;0,G1146/F1146,"")</f>
        <v/>
      </c>
      <c r="K1146" s="10">
        <f>IF(N(G1146)&gt;0,E1146/G1146,"")</f>
        <v/>
      </c>
      <c r="L1146" s="10">
        <f>IF(N(H1146)&gt;0,E1146/H1146,"")</f>
        <v/>
      </c>
      <c r="M1146" s="11">
        <f>IF(N(E1146)&gt;0,I1146/E1146,"")</f>
        <v/>
      </c>
      <c r="N1146" s="10">
        <f>IF(AND(E1146="",I1146=""),"",N(I1146)*(1-COM-COM_SHOP)-N(E1146)*(1+IMP_META))</f>
        <v/>
      </c>
      <c r="O1146" s="37" t="n"/>
    </row>
    <row r="1147">
      <c r="A1147" s="36" t="n"/>
      <c r="B1147" s="37" t="n"/>
      <c r="C1147" s="37" t="n"/>
      <c r="D1147" s="38">
        <f>IF(C1147="","",IFERROR(INDEX(Anuncios!$B$6:$B$65,MATCH(C1147,Anuncios!$A$6:$A$65,0)),"(no está en Anuncios)"))</f>
        <v/>
      </c>
      <c r="E1147" s="39" t="n"/>
      <c r="F1147" s="40" t="n"/>
      <c r="G1147" s="40" t="n"/>
      <c r="H1147" s="40" t="n"/>
      <c r="I1147" s="39" t="n"/>
      <c r="J1147" s="13">
        <f>IF(N(F1147)&gt;0,G1147/F1147,"")</f>
        <v/>
      </c>
      <c r="K1147" s="10">
        <f>IF(N(G1147)&gt;0,E1147/G1147,"")</f>
        <v/>
      </c>
      <c r="L1147" s="10">
        <f>IF(N(H1147)&gt;0,E1147/H1147,"")</f>
        <v/>
      </c>
      <c r="M1147" s="11">
        <f>IF(N(E1147)&gt;0,I1147/E1147,"")</f>
        <v/>
      </c>
      <c r="N1147" s="10">
        <f>IF(AND(E1147="",I1147=""),"",N(I1147)*(1-COM-COM_SHOP)-N(E1147)*(1+IMP_META))</f>
        <v/>
      </c>
      <c r="O1147" s="37" t="n"/>
    </row>
    <row r="1148">
      <c r="A1148" s="36" t="n"/>
      <c r="B1148" s="37" t="n"/>
      <c r="C1148" s="37" t="n"/>
      <c r="D1148" s="38">
        <f>IF(C1148="","",IFERROR(INDEX(Anuncios!$B$6:$B$65,MATCH(C1148,Anuncios!$A$6:$A$65,0)),"(no está en Anuncios)"))</f>
        <v/>
      </c>
      <c r="E1148" s="39" t="n"/>
      <c r="F1148" s="40" t="n"/>
      <c r="G1148" s="40" t="n"/>
      <c r="H1148" s="40" t="n"/>
      <c r="I1148" s="39" t="n"/>
      <c r="J1148" s="13">
        <f>IF(N(F1148)&gt;0,G1148/F1148,"")</f>
        <v/>
      </c>
      <c r="K1148" s="10">
        <f>IF(N(G1148)&gt;0,E1148/G1148,"")</f>
        <v/>
      </c>
      <c r="L1148" s="10">
        <f>IF(N(H1148)&gt;0,E1148/H1148,"")</f>
        <v/>
      </c>
      <c r="M1148" s="11">
        <f>IF(N(E1148)&gt;0,I1148/E1148,"")</f>
        <v/>
      </c>
      <c r="N1148" s="10">
        <f>IF(AND(E1148="",I1148=""),"",N(I1148)*(1-COM-COM_SHOP)-N(E1148)*(1+IMP_META))</f>
        <v/>
      </c>
      <c r="O1148" s="37" t="n"/>
    </row>
    <row r="1149">
      <c r="A1149" s="36" t="n"/>
      <c r="B1149" s="37" t="n"/>
      <c r="C1149" s="37" t="n"/>
      <c r="D1149" s="38">
        <f>IF(C1149="","",IFERROR(INDEX(Anuncios!$B$6:$B$65,MATCH(C1149,Anuncios!$A$6:$A$65,0)),"(no está en Anuncios)"))</f>
        <v/>
      </c>
      <c r="E1149" s="39" t="n"/>
      <c r="F1149" s="40" t="n"/>
      <c r="G1149" s="40" t="n"/>
      <c r="H1149" s="40" t="n"/>
      <c r="I1149" s="39" t="n"/>
      <c r="J1149" s="13">
        <f>IF(N(F1149)&gt;0,G1149/F1149,"")</f>
        <v/>
      </c>
      <c r="K1149" s="10">
        <f>IF(N(G1149)&gt;0,E1149/G1149,"")</f>
        <v/>
      </c>
      <c r="L1149" s="10">
        <f>IF(N(H1149)&gt;0,E1149/H1149,"")</f>
        <v/>
      </c>
      <c r="M1149" s="11">
        <f>IF(N(E1149)&gt;0,I1149/E1149,"")</f>
        <v/>
      </c>
      <c r="N1149" s="10">
        <f>IF(AND(E1149="",I1149=""),"",N(I1149)*(1-COM-COM_SHOP)-N(E1149)*(1+IMP_META))</f>
        <v/>
      </c>
      <c r="O1149" s="37" t="n"/>
    </row>
    <row r="1150">
      <c r="A1150" s="36" t="n"/>
      <c r="B1150" s="37" t="n"/>
      <c r="C1150" s="37" t="n"/>
      <c r="D1150" s="38">
        <f>IF(C1150="","",IFERROR(INDEX(Anuncios!$B$6:$B$65,MATCH(C1150,Anuncios!$A$6:$A$65,0)),"(no está en Anuncios)"))</f>
        <v/>
      </c>
      <c r="E1150" s="39" t="n"/>
      <c r="F1150" s="40" t="n"/>
      <c r="G1150" s="40" t="n"/>
      <c r="H1150" s="40" t="n"/>
      <c r="I1150" s="39" t="n"/>
      <c r="J1150" s="13">
        <f>IF(N(F1150)&gt;0,G1150/F1150,"")</f>
        <v/>
      </c>
      <c r="K1150" s="10">
        <f>IF(N(G1150)&gt;0,E1150/G1150,"")</f>
        <v/>
      </c>
      <c r="L1150" s="10">
        <f>IF(N(H1150)&gt;0,E1150/H1150,"")</f>
        <v/>
      </c>
      <c r="M1150" s="11">
        <f>IF(N(E1150)&gt;0,I1150/E1150,"")</f>
        <v/>
      </c>
      <c r="N1150" s="10">
        <f>IF(AND(E1150="",I1150=""),"",N(I1150)*(1-COM-COM_SHOP)-N(E1150)*(1+IMP_META))</f>
        <v/>
      </c>
      <c r="O1150" s="37" t="n"/>
    </row>
    <row r="1151">
      <c r="A1151" s="36" t="n"/>
      <c r="B1151" s="37" t="n"/>
      <c r="C1151" s="37" t="n"/>
      <c r="D1151" s="38">
        <f>IF(C1151="","",IFERROR(INDEX(Anuncios!$B$6:$B$65,MATCH(C1151,Anuncios!$A$6:$A$65,0)),"(no está en Anuncios)"))</f>
        <v/>
      </c>
      <c r="E1151" s="39" t="n"/>
      <c r="F1151" s="40" t="n"/>
      <c r="G1151" s="40" t="n"/>
      <c r="H1151" s="40" t="n"/>
      <c r="I1151" s="39" t="n"/>
      <c r="J1151" s="13">
        <f>IF(N(F1151)&gt;0,G1151/F1151,"")</f>
        <v/>
      </c>
      <c r="K1151" s="10">
        <f>IF(N(G1151)&gt;0,E1151/G1151,"")</f>
        <v/>
      </c>
      <c r="L1151" s="10">
        <f>IF(N(H1151)&gt;0,E1151/H1151,"")</f>
        <v/>
      </c>
      <c r="M1151" s="11">
        <f>IF(N(E1151)&gt;0,I1151/E1151,"")</f>
        <v/>
      </c>
      <c r="N1151" s="10">
        <f>IF(AND(E1151="",I1151=""),"",N(I1151)*(1-COM-COM_SHOP)-N(E1151)*(1+IMP_META))</f>
        <v/>
      </c>
      <c r="O1151" s="37" t="n"/>
    </row>
    <row r="1152">
      <c r="A1152" s="36" t="n"/>
      <c r="B1152" s="37" t="n"/>
      <c r="C1152" s="37" t="n"/>
      <c r="D1152" s="38">
        <f>IF(C1152="","",IFERROR(INDEX(Anuncios!$B$6:$B$65,MATCH(C1152,Anuncios!$A$6:$A$65,0)),"(no está en Anuncios)"))</f>
        <v/>
      </c>
      <c r="E1152" s="39" t="n"/>
      <c r="F1152" s="40" t="n"/>
      <c r="G1152" s="40" t="n"/>
      <c r="H1152" s="40" t="n"/>
      <c r="I1152" s="39" t="n"/>
      <c r="J1152" s="13">
        <f>IF(N(F1152)&gt;0,G1152/F1152,"")</f>
        <v/>
      </c>
      <c r="K1152" s="10">
        <f>IF(N(G1152)&gt;0,E1152/G1152,"")</f>
        <v/>
      </c>
      <c r="L1152" s="10">
        <f>IF(N(H1152)&gt;0,E1152/H1152,"")</f>
        <v/>
      </c>
      <c r="M1152" s="11">
        <f>IF(N(E1152)&gt;0,I1152/E1152,"")</f>
        <v/>
      </c>
      <c r="N1152" s="10">
        <f>IF(AND(E1152="",I1152=""),"",N(I1152)*(1-COM-COM_SHOP)-N(E1152)*(1+IMP_META))</f>
        <v/>
      </c>
      <c r="O1152" s="37" t="n"/>
    </row>
    <row r="1153">
      <c r="A1153" s="36" t="n"/>
      <c r="B1153" s="37" t="n"/>
      <c r="C1153" s="37" t="n"/>
      <c r="D1153" s="38">
        <f>IF(C1153="","",IFERROR(INDEX(Anuncios!$B$6:$B$65,MATCH(C1153,Anuncios!$A$6:$A$65,0)),"(no está en Anuncios)"))</f>
        <v/>
      </c>
      <c r="E1153" s="39" t="n"/>
      <c r="F1153" s="40" t="n"/>
      <c r="G1153" s="40" t="n"/>
      <c r="H1153" s="40" t="n"/>
      <c r="I1153" s="39" t="n"/>
      <c r="J1153" s="13">
        <f>IF(N(F1153)&gt;0,G1153/F1153,"")</f>
        <v/>
      </c>
      <c r="K1153" s="10">
        <f>IF(N(G1153)&gt;0,E1153/G1153,"")</f>
        <v/>
      </c>
      <c r="L1153" s="10">
        <f>IF(N(H1153)&gt;0,E1153/H1153,"")</f>
        <v/>
      </c>
      <c r="M1153" s="11">
        <f>IF(N(E1153)&gt;0,I1153/E1153,"")</f>
        <v/>
      </c>
      <c r="N1153" s="10">
        <f>IF(AND(E1153="",I1153=""),"",N(I1153)*(1-COM-COM_SHOP)-N(E1153)*(1+IMP_META))</f>
        <v/>
      </c>
      <c r="O1153" s="37" t="n"/>
    </row>
    <row r="1154">
      <c r="A1154" s="36" t="n"/>
      <c r="B1154" s="37" t="n"/>
      <c r="C1154" s="37" t="n"/>
      <c r="D1154" s="38">
        <f>IF(C1154="","",IFERROR(INDEX(Anuncios!$B$6:$B$65,MATCH(C1154,Anuncios!$A$6:$A$65,0)),"(no está en Anuncios)"))</f>
        <v/>
      </c>
      <c r="E1154" s="39" t="n"/>
      <c r="F1154" s="40" t="n"/>
      <c r="G1154" s="40" t="n"/>
      <c r="H1154" s="40" t="n"/>
      <c r="I1154" s="39" t="n"/>
      <c r="J1154" s="13">
        <f>IF(N(F1154)&gt;0,G1154/F1154,"")</f>
        <v/>
      </c>
      <c r="K1154" s="10">
        <f>IF(N(G1154)&gt;0,E1154/G1154,"")</f>
        <v/>
      </c>
      <c r="L1154" s="10">
        <f>IF(N(H1154)&gt;0,E1154/H1154,"")</f>
        <v/>
      </c>
      <c r="M1154" s="11">
        <f>IF(N(E1154)&gt;0,I1154/E1154,"")</f>
        <v/>
      </c>
      <c r="N1154" s="10">
        <f>IF(AND(E1154="",I1154=""),"",N(I1154)*(1-COM-COM_SHOP)-N(E1154)*(1+IMP_META))</f>
        <v/>
      </c>
      <c r="O1154" s="37" t="n"/>
    </row>
    <row r="1155">
      <c r="A1155" s="36" t="n"/>
      <c r="B1155" s="37" t="n"/>
      <c r="C1155" s="37" t="n"/>
      <c r="D1155" s="38">
        <f>IF(C1155="","",IFERROR(INDEX(Anuncios!$B$6:$B$65,MATCH(C1155,Anuncios!$A$6:$A$65,0)),"(no está en Anuncios)"))</f>
        <v/>
      </c>
      <c r="E1155" s="39" t="n"/>
      <c r="F1155" s="40" t="n"/>
      <c r="G1155" s="40" t="n"/>
      <c r="H1155" s="40" t="n"/>
      <c r="I1155" s="39" t="n"/>
      <c r="J1155" s="13">
        <f>IF(N(F1155)&gt;0,G1155/F1155,"")</f>
        <v/>
      </c>
      <c r="K1155" s="10">
        <f>IF(N(G1155)&gt;0,E1155/G1155,"")</f>
        <v/>
      </c>
      <c r="L1155" s="10">
        <f>IF(N(H1155)&gt;0,E1155/H1155,"")</f>
        <v/>
      </c>
      <c r="M1155" s="11">
        <f>IF(N(E1155)&gt;0,I1155/E1155,"")</f>
        <v/>
      </c>
      <c r="N1155" s="10">
        <f>IF(AND(E1155="",I1155=""),"",N(I1155)*(1-COM-COM_SHOP)-N(E1155)*(1+IMP_META))</f>
        <v/>
      </c>
      <c r="O1155" s="37" t="n"/>
    </row>
    <row r="1156">
      <c r="A1156" s="36" t="n"/>
      <c r="B1156" s="37" t="n"/>
      <c r="C1156" s="37" t="n"/>
      <c r="D1156" s="38">
        <f>IF(C1156="","",IFERROR(INDEX(Anuncios!$B$6:$B$65,MATCH(C1156,Anuncios!$A$6:$A$65,0)),"(no está en Anuncios)"))</f>
        <v/>
      </c>
      <c r="E1156" s="39" t="n"/>
      <c r="F1156" s="40" t="n"/>
      <c r="G1156" s="40" t="n"/>
      <c r="H1156" s="40" t="n"/>
      <c r="I1156" s="39" t="n"/>
      <c r="J1156" s="13">
        <f>IF(N(F1156)&gt;0,G1156/F1156,"")</f>
        <v/>
      </c>
      <c r="K1156" s="10">
        <f>IF(N(G1156)&gt;0,E1156/G1156,"")</f>
        <v/>
      </c>
      <c r="L1156" s="10">
        <f>IF(N(H1156)&gt;0,E1156/H1156,"")</f>
        <v/>
      </c>
      <c r="M1156" s="11">
        <f>IF(N(E1156)&gt;0,I1156/E1156,"")</f>
        <v/>
      </c>
      <c r="N1156" s="10">
        <f>IF(AND(E1156="",I1156=""),"",N(I1156)*(1-COM-COM_SHOP)-N(E1156)*(1+IMP_META))</f>
        <v/>
      </c>
      <c r="O1156" s="37" t="n"/>
    </row>
    <row r="1157">
      <c r="A1157" s="36" t="n"/>
      <c r="B1157" s="37" t="n"/>
      <c r="C1157" s="37" t="n"/>
      <c r="D1157" s="38">
        <f>IF(C1157="","",IFERROR(INDEX(Anuncios!$B$6:$B$65,MATCH(C1157,Anuncios!$A$6:$A$65,0)),"(no está en Anuncios)"))</f>
        <v/>
      </c>
      <c r="E1157" s="39" t="n"/>
      <c r="F1157" s="40" t="n"/>
      <c r="G1157" s="40" t="n"/>
      <c r="H1157" s="40" t="n"/>
      <c r="I1157" s="39" t="n"/>
      <c r="J1157" s="13">
        <f>IF(N(F1157)&gt;0,G1157/F1157,"")</f>
        <v/>
      </c>
      <c r="K1157" s="10">
        <f>IF(N(G1157)&gt;0,E1157/G1157,"")</f>
        <v/>
      </c>
      <c r="L1157" s="10">
        <f>IF(N(H1157)&gt;0,E1157/H1157,"")</f>
        <v/>
      </c>
      <c r="M1157" s="11">
        <f>IF(N(E1157)&gt;0,I1157/E1157,"")</f>
        <v/>
      </c>
      <c r="N1157" s="10">
        <f>IF(AND(E1157="",I1157=""),"",N(I1157)*(1-COM-COM_SHOP)-N(E1157)*(1+IMP_META))</f>
        <v/>
      </c>
      <c r="O1157" s="37" t="n"/>
    </row>
    <row r="1158">
      <c r="A1158" s="36" t="n"/>
      <c r="B1158" s="37" t="n"/>
      <c r="C1158" s="37" t="n"/>
      <c r="D1158" s="38">
        <f>IF(C1158="","",IFERROR(INDEX(Anuncios!$B$6:$B$65,MATCH(C1158,Anuncios!$A$6:$A$65,0)),"(no está en Anuncios)"))</f>
        <v/>
      </c>
      <c r="E1158" s="39" t="n"/>
      <c r="F1158" s="40" t="n"/>
      <c r="G1158" s="40" t="n"/>
      <c r="H1158" s="40" t="n"/>
      <c r="I1158" s="39" t="n"/>
      <c r="J1158" s="13">
        <f>IF(N(F1158)&gt;0,G1158/F1158,"")</f>
        <v/>
      </c>
      <c r="K1158" s="10">
        <f>IF(N(G1158)&gt;0,E1158/G1158,"")</f>
        <v/>
      </c>
      <c r="L1158" s="10">
        <f>IF(N(H1158)&gt;0,E1158/H1158,"")</f>
        <v/>
      </c>
      <c r="M1158" s="11">
        <f>IF(N(E1158)&gt;0,I1158/E1158,"")</f>
        <v/>
      </c>
      <c r="N1158" s="10">
        <f>IF(AND(E1158="",I1158=""),"",N(I1158)*(1-COM-COM_SHOP)-N(E1158)*(1+IMP_META))</f>
        <v/>
      </c>
      <c r="O1158" s="37" t="n"/>
    </row>
    <row r="1159">
      <c r="A1159" s="36" t="n"/>
      <c r="B1159" s="37" t="n"/>
      <c r="C1159" s="37" t="n"/>
      <c r="D1159" s="38">
        <f>IF(C1159="","",IFERROR(INDEX(Anuncios!$B$6:$B$65,MATCH(C1159,Anuncios!$A$6:$A$65,0)),"(no está en Anuncios)"))</f>
        <v/>
      </c>
      <c r="E1159" s="39" t="n"/>
      <c r="F1159" s="40" t="n"/>
      <c r="G1159" s="40" t="n"/>
      <c r="H1159" s="40" t="n"/>
      <c r="I1159" s="39" t="n"/>
      <c r="J1159" s="13">
        <f>IF(N(F1159)&gt;0,G1159/F1159,"")</f>
        <v/>
      </c>
      <c r="K1159" s="10">
        <f>IF(N(G1159)&gt;0,E1159/G1159,"")</f>
        <v/>
      </c>
      <c r="L1159" s="10">
        <f>IF(N(H1159)&gt;0,E1159/H1159,"")</f>
        <v/>
      </c>
      <c r="M1159" s="11">
        <f>IF(N(E1159)&gt;0,I1159/E1159,"")</f>
        <v/>
      </c>
      <c r="N1159" s="10">
        <f>IF(AND(E1159="",I1159=""),"",N(I1159)*(1-COM-COM_SHOP)-N(E1159)*(1+IMP_META))</f>
        <v/>
      </c>
      <c r="O1159" s="37" t="n"/>
    </row>
    <row r="1160">
      <c r="A1160" s="36" t="n"/>
      <c r="B1160" s="37" t="n"/>
      <c r="C1160" s="37" t="n"/>
      <c r="D1160" s="38">
        <f>IF(C1160="","",IFERROR(INDEX(Anuncios!$B$6:$B$65,MATCH(C1160,Anuncios!$A$6:$A$65,0)),"(no está en Anuncios)"))</f>
        <v/>
      </c>
      <c r="E1160" s="39" t="n"/>
      <c r="F1160" s="40" t="n"/>
      <c r="G1160" s="40" t="n"/>
      <c r="H1160" s="40" t="n"/>
      <c r="I1160" s="39" t="n"/>
      <c r="J1160" s="13">
        <f>IF(N(F1160)&gt;0,G1160/F1160,"")</f>
        <v/>
      </c>
      <c r="K1160" s="10">
        <f>IF(N(G1160)&gt;0,E1160/G1160,"")</f>
        <v/>
      </c>
      <c r="L1160" s="10">
        <f>IF(N(H1160)&gt;0,E1160/H1160,"")</f>
        <v/>
      </c>
      <c r="M1160" s="11">
        <f>IF(N(E1160)&gt;0,I1160/E1160,"")</f>
        <v/>
      </c>
      <c r="N1160" s="10">
        <f>IF(AND(E1160="",I1160=""),"",N(I1160)*(1-COM-COM_SHOP)-N(E1160)*(1+IMP_META))</f>
        <v/>
      </c>
      <c r="O1160" s="37" t="n"/>
    </row>
    <row r="1161">
      <c r="A1161" s="36" t="n"/>
      <c r="B1161" s="37" t="n"/>
      <c r="C1161" s="37" t="n"/>
      <c r="D1161" s="38">
        <f>IF(C1161="","",IFERROR(INDEX(Anuncios!$B$6:$B$65,MATCH(C1161,Anuncios!$A$6:$A$65,0)),"(no está en Anuncios)"))</f>
        <v/>
      </c>
      <c r="E1161" s="39" t="n"/>
      <c r="F1161" s="40" t="n"/>
      <c r="G1161" s="40" t="n"/>
      <c r="H1161" s="40" t="n"/>
      <c r="I1161" s="39" t="n"/>
      <c r="J1161" s="13">
        <f>IF(N(F1161)&gt;0,G1161/F1161,"")</f>
        <v/>
      </c>
      <c r="K1161" s="10">
        <f>IF(N(G1161)&gt;0,E1161/G1161,"")</f>
        <v/>
      </c>
      <c r="L1161" s="10">
        <f>IF(N(H1161)&gt;0,E1161/H1161,"")</f>
        <v/>
      </c>
      <c r="M1161" s="11">
        <f>IF(N(E1161)&gt;0,I1161/E1161,"")</f>
        <v/>
      </c>
      <c r="N1161" s="10">
        <f>IF(AND(E1161="",I1161=""),"",N(I1161)*(1-COM-COM_SHOP)-N(E1161)*(1+IMP_META))</f>
        <v/>
      </c>
      <c r="O1161" s="37" t="n"/>
    </row>
    <row r="1162">
      <c r="A1162" s="36" t="n"/>
      <c r="B1162" s="37" t="n"/>
      <c r="C1162" s="37" t="n"/>
      <c r="D1162" s="38">
        <f>IF(C1162="","",IFERROR(INDEX(Anuncios!$B$6:$B$65,MATCH(C1162,Anuncios!$A$6:$A$65,0)),"(no está en Anuncios)"))</f>
        <v/>
      </c>
      <c r="E1162" s="39" t="n"/>
      <c r="F1162" s="40" t="n"/>
      <c r="G1162" s="40" t="n"/>
      <c r="H1162" s="40" t="n"/>
      <c r="I1162" s="39" t="n"/>
      <c r="J1162" s="13">
        <f>IF(N(F1162)&gt;0,G1162/F1162,"")</f>
        <v/>
      </c>
      <c r="K1162" s="10">
        <f>IF(N(G1162)&gt;0,E1162/G1162,"")</f>
        <v/>
      </c>
      <c r="L1162" s="10">
        <f>IF(N(H1162)&gt;0,E1162/H1162,"")</f>
        <v/>
      </c>
      <c r="M1162" s="11">
        <f>IF(N(E1162)&gt;0,I1162/E1162,"")</f>
        <v/>
      </c>
      <c r="N1162" s="10">
        <f>IF(AND(E1162="",I1162=""),"",N(I1162)*(1-COM-COM_SHOP)-N(E1162)*(1+IMP_META))</f>
        <v/>
      </c>
      <c r="O1162" s="37" t="n"/>
    </row>
    <row r="1163">
      <c r="A1163" s="36" t="n"/>
      <c r="B1163" s="37" t="n"/>
      <c r="C1163" s="37" t="n"/>
      <c r="D1163" s="38">
        <f>IF(C1163="","",IFERROR(INDEX(Anuncios!$B$6:$B$65,MATCH(C1163,Anuncios!$A$6:$A$65,0)),"(no está en Anuncios)"))</f>
        <v/>
      </c>
      <c r="E1163" s="39" t="n"/>
      <c r="F1163" s="40" t="n"/>
      <c r="G1163" s="40" t="n"/>
      <c r="H1163" s="40" t="n"/>
      <c r="I1163" s="39" t="n"/>
      <c r="J1163" s="13">
        <f>IF(N(F1163)&gt;0,G1163/F1163,"")</f>
        <v/>
      </c>
      <c r="K1163" s="10">
        <f>IF(N(G1163)&gt;0,E1163/G1163,"")</f>
        <v/>
      </c>
      <c r="L1163" s="10">
        <f>IF(N(H1163)&gt;0,E1163/H1163,"")</f>
        <v/>
      </c>
      <c r="M1163" s="11">
        <f>IF(N(E1163)&gt;0,I1163/E1163,"")</f>
        <v/>
      </c>
      <c r="N1163" s="10">
        <f>IF(AND(E1163="",I1163=""),"",N(I1163)*(1-COM-COM_SHOP)-N(E1163)*(1+IMP_META))</f>
        <v/>
      </c>
      <c r="O1163" s="37" t="n"/>
    </row>
    <row r="1164">
      <c r="A1164" s="36" t="n"/>
      <c r="B1164" s="37" t="n"/>
      <c r="C1164" s="37" t="n"/>
      <c r="D1164" s="38">
        <f>IF(C1164="","",IFERROR(INDEX(Anuncios!$B$6:$B$65,MATCH(C1164,Anuncios!$A$6:$A$65,0)),"(no está en Anuncios)"))</f>
        <v/>
      </c>
      <c r="E1164" s="39" t="n"/>
      <c r="F1164" s="40" t="n"/>
      <c r="G1164" s="40" t="n"/>
      <c r="H1164" s="40" t="n"/>
      <c r="I1164" s="39" t="n"/>
      <c r="J1164" s="13">
        <f>IF(N(F1164)&gt;0,G1164/F1164,"")</f>
        <v/>
      </c>
      <c r="K1164" s="10">
        <f>IF(N(G1164)&gt;0,E1164/G1164,"")</f>
        <v/>
      </c>
      <c r="L1164" s="10">
        <f>IF(N(H1164)&gt;0,E1164/H1164,"")</f>
        <v/>
      </c>
      <c r="M1164" s="11">
        <f>IF(N(E1164)&gt;0,I1164/E1164,"")</f>
        <v/>
      </c>
      <c r="N1164" s="10">
        <f>IF(AND(E1164="",I1164=""),"",N(I1164)*(1-COM-COM_SHOP)-N(E1164)*(1+IMP_META))</f>
        <v/>
      </c>
      <c r="O1164" s="37" t="n"/>
    </row>
    <row r="1165">
      <c r="A1165" s="36" t="n"/>
      <c r="B1165" s="37" t="n"/>
      <c r="C1165" s="37" t="n"/>
      <c r="D1165" s="38">
        <f>IF(C1165="","",IFERROR(INDEX(Anuncios!$B$6:$B$65,MATCH(C1165,Anuncios!$A$6:$A$65,0)),"(no está en Anuncios)"))</f>
        <v/>
      </c>
      <c r="E1165" s="39" t="n"/>
      <c r="F1165" s="40" t="n"/>
      <c r="G1165" s="40" t="n"/>
      <c r="H1165" s="40" t="n"/>
      <c r="I1165" s="39" t="n"/>
      <c r="J1165" s="13">
        <f>IF(N(F1165)&gt;0,G1165/F1165,"")</f>
        <v/>
      </c>
      <c r="K1165" s="10">
        <f>IF(N(G1165)&gt;0,E1165/G1165,"")</f>
        <v/>
      </c>
      <c r="L1165" s="10">
        <f>IF(N(H1165)&gt;0,E1165/H1165,"")</f>
        <v/>
      </c>
      <c r="M1165" s="11">
        <f>IF(N(E1165)&gt;0,I1165/E1165,"")</f>
        <v/>
      </c>
      <c r="N1165" s="10">
        <f>IF(AND(E1165="",I1165=""),"",N(I1165)*(1-COM-COM_SHOP)-N(E1165)*(1+IMP_META))</f>
        <v/>
      </c>
      <c r="O1165" s="37" t="n"/>
    </row>
    <row r="1166">
      <c r="A1166" s="36" t="n"/>
      <c r="B1166" s="37" t="n"/>
      <c r="C1166" s="37" t="n"/>
      <c r="D1166" s="38">
        <f>IF(C1166="","",IFERROR(INDEX(Anuncios!$B$6:$B$65,MATCH(C1166,Anuncios!$A$6:$A$65,0)),"(no está en Anuncios)"))</f>
        <v/>
      </c>
      <c r="E1166" s="39" t="n"/>
      <c r="F1166" s="40" t="n"/>
      <c r="G1166" s="40" t="n"/>
      <c r="H1166" s="40" t="n"/>
      <c r="I1166" s="39" t="n"/>
      <c r="J1166" s="13">
        <f>IF(N(F1166)&gt;0,G1166/F1166,"")</f>
        <v/>
      </c>
      <c r="K1166" s="10">
        <f>IF(N(G1166)&gt;0,E1166/G1166,"")</f>
        <v/>
      </c>
      <c r="L1166" s="10">
        <f>IF(N(H1166)&gt;0,E1166/H1166,"")</f>
        <v/>
      </c>
      <c r="M1166" s="11">
        <f>IF(N(E1166)&gt;0,I1166/E1166,"")</f>
        <v/>
      </c>
      <c r="N1166" s="10">
        <f>IF(AND(E1166="",I1166=""),"",N(I1166)*(1-COM-COM_SHOP)-N(E1166)*(1+IMP_META))</f>
        <v/>
      </c>
      <c r="O1166" s="37" t="n"/>
    </row>
    <row r="1167">
      <c r="A1167" s="36" t="n"/>
      <c r="B1167" s="37" t="n"/>
      <c r="C1167" s="37" t="n"/>
      <c r="D1167" s="38">
        <f>IF(C1167="","",IFERROR(INDEX(Anuncios!$B$6:$B$65,MATCH(C1167,Anuncios!$A$6:$A$65,0)),"(no está en Anuncios)"))</f>
        <v/>
      </c>
      <c r="E1167" s="39" t="n"/>
      <c r="F1167" s="40" t="n"/>
      <c r="G1167" s="40" t="n"/>
      <c r="H1167" s="40" t="n"/>
      <c r="I1167" s="39" t="n"/>
      <c r="J1167" s="13">
        <f>IF(N(F1167)&gt;0,G1167/F1167,"")</f>
        <v/>
      </c>
      <c r="K1167" s="10">
        <f>IF(N(G1167)&gt;0,E1167/G1167,"")</f>
        <v/>
      </c>
      <c r="L1167" s="10">
        <f>IF(N(H1167)&gt;0,E1167/H1167,"")</f>
        <v/>
      </c>
      <c r="M1167" s="11">
        <f>IF(N(E1167)&gt;0,I1167/E1167,"")</f>
        <v/>
      </c>
      <c r="N1167" s="10">
        <f>IF(AND(E1167="",I1167=""),"",N(I1167)*(1-COM-COM_SHOP)-N(E1167)*(1+IMP_META))</f>
        <v/>
      </c>
      <c r="O1167" s="37" t="n"/>
    </row>
    <row r="1168">
      <c r="A1168" s="36" t="n"/>
      <c r="B1168" s="37" t="n"/>
      <c r="C1168" s="37" t="n"/>
      <c r="D1168" s="38">
        <f>IF(C1168="","",IFERROR(INDEX(Anuncios!$B$6:$B$65,MATCH(C1168,Anuncios!$A$6:$A$65,0)),"(no está en Anuncios)"))</f>
        <v/>
      </c>
      <c r="E1168" s="39" t="n"/>
      <c r="F1168" s="40" t="n"/>
      <c r="G1168" s="40" t="n"/>
      <c r="H1168" s="40" t="n"/>
      <c r="I1168" s="39" t="n"/>
      <c r="J1168" s="13">
        <f>IF(N(F1168)&gt;0,G1168/F1168,"")</f>
        <v/>
      </c>
      <c r="K1168" s="10">
        <f>IF(N(G1168)&gt;0,E1168/G1168,"")</f>
        <v/>
      </c>
      <c r="L1168" s="10">
        <f>IF(N(H1168)&gt;0,E1168/H1168,"")</f>
        <v/>
      </c>
      <c r="M1168" s="11">
        <f>IF(N(E1168)&gt;0,I1168/E1168,"")</f>
        <v/>
      </c>
      <c r="N1168" s="10">
        <f>IF(AND(E1168="",I1168=""),"",N(I1168)*(1-COM-COM_SHOP)-N(E1168)*(1+IMP_META))</f>
        <v/>
      </c>
      <c r="O1168" s="37" t="n"/>
    </row>
    <row r="1169">
      <c r="A1169" s="36" t="n"/>
      <c r="B1169" s="37" t="n"/>
      <c r="C1169" s="37" t="n"/>
      <c r="D1169" s="38">
        <f>IF(C1169="","",IFERROR(INDEX(Anuncios!$B$6:$B$65,MATCH(C1169,Anuncios!$A$6:$A$65,0)),"(no está en Anuncios)"))</f>
        <v/>
      </c>
      <c r="E1169" s="39" t="n"/>
      <c r="F1169" s="40" t="n"/>
      <c r="G1169" s="40" t="n"/>
      <c r="H1169" s="40" t="n"/>
      <c r="I1169" s="39" t="n"/>
      <c r="J1169" s="13">
        <f>IF(N(F1169)&gt;0,G1169/F1169,"")</f>
        <v/>
      </c>
      <c r="K1169" s="10">
        <f>IF(N(G1169)&gt;0,E1169/G1169,"")</f>
        <v/>
      </c>
      <c r="L1169" s="10">
        <f>IF(N(H1169)&gt;0,E1169/H1169,"")</f>
        <v/>
      </c>
      <c r="M1169" s="11">
        <f>IF(N(E1169)&gt;0,I1169/E1169,"")</f>
        <v/>
      </c>
      <c r="N1169" s="10">
        <f>IF(AND(E1169="",I1169=""),"",N(I1169)*(1-COM-COM_SHOP)-N(E1169)*(1+IMP_META))</f>
        <v/>
      </c>
      <c r="O1169" s="37" t="n"/>
    </row>
    <row r="1170">
      <c r="A1170" s="36" t="n"/>
      <c r="B1170" s="37" t="n"/>
      <c r="C1170" s="37" t="n"/>
      <c r="D1170" s="38">
        <f>IF(C1170="","",IFERROR(INDEX(Anuncios!$B$6:$B$65,MATCH(C1170,Anuncios!$A$6:$A$65,0)),"(no está en Anuncios)"))</f>
        <v/>
      </c>
      <c r="E1170" s="39" t="n"/>
      <c r="F1170" s="40" t="n"/>
      <c r="G1170" s="40" t="n"/>
      <c r="H1170" s="40" t="n"/>
      <c r="I1170" s="39" t="n"/>
      <c r="J1170" s="13">
        <f>IF(N(F1170)&gt;0,G1170/F1170,"")</f>
        <v/>
      </c>
      <c r="K1170" s="10">
        <f>IF(N(G1170)&gt;0,E1170/G1170,"")</f>
        <v/>
      </c>
      <c r="L1170" s="10">
        <f>IF(N(H1170)&gt;0,E1170/H1170,"")</f>
        <v/>
      </c>
      <c r="M1170" s="11">
        <f>IF(N(E1170)&gt;0,I1170/E1170,"")</f>
        <v/>
      </c>
      <c r="N1170" s="10">
        <f>IF(AND(E1170="",I1170=""),"",N(I1170)*(1-COM-COM_SHOP)-N(E1170)*(1+IMP_META))</f>
        <v/>
      </c>
      <c r="O1170" s="37" t="n"/>
    </row>
    <row r="1171">
      <c r="A1171" s="36" t="n"/>
      <c r="B1171" s="37" t="n"/>
      <c r="C1171" s="37" t="n"/>
      <c r="D1171" s="38">
        <f>IF(C1171="","",IFERROR(INDEX(Anuncios!$B$6:$B$65,MATCH(C1171,Anuncios!$A$6:$A$65,0)),"(no está en Anuncios)"))</f>
        <v/>
      </c>
      <c r="E1171" s="39" t="n"/>
      <c r="F1171" s="40" t="n"/>
      <c r="G1171" s="40" t="n"/>
      <c r="H1171" s="40" t="n"/>
      <c r="I1171" s="39" t="n"/>
      <c r="J1171" s="13">
        <f>IF(N(F1171)&gt;0,G1171/F1171,"")</f>
        <v/>
      </c>
      <c r="K1171" s="10">
        <f>IF(N(G1171)&gt;0,E1171/G1171,"")</f>
        <v/>
      </c>
      <c r="L1171" s="10">
        <f>IF(N(H1171)&gt;0,E1171/H1171,"")</f>
        <v/>
      </c>
      <c r="M1171" s="11">
        <f>IF(N(E1171)&gt;0,I1171/E1171,"")</f>
        <v/>
      </c>
      <c r="N1171" s="10">
        <f>IF(AND(E1171="",I1171=""),"",N(I1171)*(1-COM-COM_SHOP)-N(E1171)*(1+IMP_META))</f>
        <v/>
      </c>
      <c r="O1171" s="37" t="n"/>
    </row>
    <row r="1172">
      <c r="A1172" s="36" t="n"/>
      <c r="B1172" s="37" t="n"/>
      <c r="C1172" s="37" t="n"/>
      <c r="D1172" s="38">
        <f>IF(C1172="","",IFERROR(INDEX(Anuncios!$B$6:$B$65,MATCH(C1172,Anuncios!$A$6:$A$65,0)),"(no está en Anuncios)"))</f>
        <v/>
      </c>
      <c r="E1172" s="39" t="n"/>
      <c r="F1172" s="40" t="n"/>
      <c r="G1172" s="40" t="n"/>
      <c r="H1172" s="40" t="n"/>
      <c r="I1172" s="39" t="n"/>
      <c r="J1172" s="13">
        <f>IF(N(F1172)&gt;0,G1172/F1172,"")</f>
        <v/>
      </c>
      <c r="K1172" s="10">
        <f>IF(N(G1172)&gt;0,E1172/G1172,"")</f>
        <v/>
      </c>
      <c r="L1172" s="10">
        <f>IF(N(H1172)&gt;0,E1172/H1172,"")</f>
        <v/>
      </c>
      <c r="M1172" s="11">
        <f>IF(N(E1172)&gt;0,I1172/E1172,"")</f>
        <v/>
      </c>
      <c r="N1172" s="10">
        <f>IF(AND(E1172="",I1172=""),"",N(I1172)*(1-COM-COM_SHOP)-N(E1172)*(1+IMP_META))</f>
        <v/>
      </c>
      <c r="O1172" s="37" t="n"/>
    </row>
    <row r="1173">
      <c r="A1173" s="36" t="n"/>
      <c r="B1173" s="37" t="n"/>
      <c r="C1173" s="37" t="n"/>
      <c r="D1173" s="38">
        <f>IF(C1173="","",IFERROR(INDEX(Anuncios!$B$6:$B$65,MATCH(C1173,Anuncios!$A$6:$A$65,0)),"(no está en Anuncios)"))</f>
        <v/>
      </c>
      <c r="E1173" s="39" t="n"/>
      <c r="F1173" s="40" t="n"/>
      <c r="G1173" s="40" t="n"/>
      <c r="H1173" s="40" t="n"/>
      <c r="I1173" s="39" t="n"/>
      <c r="J1173" s="13">
        <f>IF(N(F1173)&gt;0,G1173/F1173,"")</f>
        <v/>
      </c>
      <c r="K1173" s="10">
        <f>IF(N(G1173)&gt;0,E1173/G1173,"")</f>
        <v/>
      </c>
      <c r="L1173" s="10">
        <f>IF(N(H1173)&gt;0,E1173/H1173,"")</f>
        <v/>
      </c>
      <c r="M1173" s="11">
        <f>IF(N(E1173)&gt;0,I1173/E1173,"")</f>
        <v/>
      </c>
      <c r="N1173" s="10">
        <f>IF(AND(E1173="",I1173=""),"",N(I1173)*(1-COM-COM_SHOP)-N(E1173)*(1+IMP_META))</f>
        <v/>
      </c>
      <c r="O1173" s="37" t="n"/>
    </row>
    <row r="1174">
      <c r="A1174" s="36" t="n"/>
      <c r="B1174" s="37" t="n"/>
      <c r="C1174" s="37" t="n"/>
      <c r="D1174" s="38">
        <f>IF(C1174="","",IFERROR(INDEX(Anuncios!$B$6:$B$65,MATCH(C1174,Anuncios!$A$6:$A$65,0)),"(no está en Anuncios)"))</f>
        <v/>
      </c>
      <c r="E1174" s="39" t="n"/>
      <c r="F1174" s="40" t="n"/>
      <c r="G1174" s="40" t="n"/>
      <c r="H1174" s="40" t="n"/>
      <c r="I1174" s="39" t="n"/>
      <c r="J1174" s="13">
        <f>IF(N(F1174)&gt;0,G1174/F1174,"")</f>
        <v/>
      </c>
      <c r="K1174" s="10">
        <f>IF(N(G1174)&gt;0,E1174/G1174,"")</f>
        <v/>
      </c>
      <c r="L1174" s="10">
        <f>IF(N(H1174)&gt;0,E1174/H1174,"")</f>
        <v/>
      </c>
      <c r="M1174" s="11">
        <f>IF(N(E1174)&gt;0,I1174/E1174,"")</f>
        <v/>
      </c>
      <c r="N1174" s="10">
        <f>IF(AND(E1174="",I1174=""),"",N(I1174)*(1-COM-COM_SHOP)-N(E1174)*(1+IMP_META))</f>
        <v/>
      </c>
      <c r="O1174" s="37" t="n"/>
    </row>
    <row r="1175">
      <c r="A1175" s="36" t="n"/>
      <c r="B1175" s="37" t="n"/>
      <c r="C1175" s="37" t="n"/>
      <c r="D1175" s="38">
        <f>IF(C1175="","",IFERROR(INDEX(Anuncios!$B$6:$B$65,MATCH(C1175,Anuncios!$A$6:$A$65,0)),"(no está en Anuncios)"))</f>
        <v/>
      </c>
      <c r="E1175" s="39" t="n"/>
      <c r="F1175" s="40" t="n"/>
      <c r="G1175" s="40" t="n"/>
      <c r="H1175" s="40" t="n"/>
      <c r="I1175" s="39" t="n"/>
      <c r="J1175" s="13">
        <f>IF(N(F1175)&gt;0,G1175/F1175,"")</f>
        <v/>
      </c>
      <c r="K1175" s="10">
        <f>IF(N(G1175)&gt;0,E1175/G1175,"")</f>
        <v/>
      </c>
      <c r="L1175" s="10">
        <f>IF(N(H1175)&gt;0,E1175/H1175,"")</f>
        <v/>
      </c>
      <c r="M1175" s="11">
        <f>IF(N(E1175)&gt;0,I1175/E1175,"")</f>
        <v/>
      </c>
      <c r="N1175" s="10">
        <f>IF(AND(E1175="",I1175=""),"",N(I1175)*(1-COM-COM_SHOP)-N(E1175)*(1+IMP_META))</f>
        <v/>
      </c>
      <c r="O1175" s="37" t="n"/>
    </row>
    <row r="1176">
      <c r="A1176" s="36" t="n"/>
      <c r="B1176" s="37" t="n"/>
      <c r="C1176" s="37" t="n"/>
      <c r="D1176" s="38">
        <f>IF(C1176="","",IFERROR(INDEX(Anuncios!$B$6:$B$65,MATCH(C1176,Anuncios!$A$6:$A$65,0)),"(no está en Anuncios)"))</f>
        <v/>
      </c>
      <c r="E1176" s="39" t="n"/>
      <c r="F1176" s="40" t="n"/>
      <c r="G1176" s="40" t="n"/>
      <c r="H1176" s="40" t="n"/>
      <c r="I1176" s="39" t="n"/>
      <c r="J1176" s="13">
        <f>IF(N(F1176)&gt;0,G1176/F1176,"")</f>
        <v/>
      </c>
      <c r="K1176" s="10">
        <f>IF(N(G1176)&gt;0,E1176/G1176,"")</f>
        <v/>
      </c>
      <c r="L1176" s="10">
        <f>IF(N(H1176)&gt;0,E1176/H1176,"")</f>
        <v/>
      </c>
      <c r="M1176" s="11">
        <f>IF(N(E1176)&gt;0,I1176/E1176,"")</f>
        <v/>
      </c>
      <c r="N1176" s="10">
        <f>IF(AND(E1176="",I1176=""),"",N(I1176)*(1-COM-COM_SHOP)-N(E1176)*(1+IMP_META))</f>
        <v/>
      </c>
      <c r="O1176" s="37" t="n"/>
    </row>
    <row r="1177">
      <c r="A1177" s="36" t="n"/>
      <c r="B1177" s="37" t="n"/>
      <c r="C1177" s="37" t="n"/>
      <c r="D1177" s="38">
        <f>IF(C1177="","",IFERROR(INDEX(Anuncios!$B$6:$B$65,MATCH(C1177,Anuncios!$A$6:$A$65,0)),"(no está en Anuncios)"))</f>
        <v/>
      </c>
      <c r="E1177" s="39" t="n"/>
      <c r="F1177" s="40" t="n"/>
      <c r="G1177" s="40" t="n"/>
      <c r="H1177" s="40" t="n"/>
      <c r="I1177" s="39" t="n"/>
      <c r="J1177" s="13">
        <f>IF(N(F1177)&gt;0,G1177/F1177,"")</f>
        <v/>
      </c>
      <c r="K1177" s="10">
        <f>IF(N(G1177)&gt;0,E1177/G1177,"")</f>
        <v/>
      </c>
      <c r="L1177" s="10">
        <f>IF(N(H1177)&gt;0,E1177/H1177,"")</f>
        <v/>
      </c>
      <c r="M1177" s="11">
        <f>IF(N(E1177)&gt;0,I1177/E1177,"")</f>
        <v/>
      </c>
      <c r="N1177" s="10">
        <f>IF(AND(E1177="",I1177=""),"",N(I1177)*(1-COM-COM_SHOP)-N(E1177)*(1+IMP_META))</f>
        <v/>
      </c>
      <c r="O1177" s="37" t="n"/>
    </row>
    <row r="1178">
      <c r="A1178" s="36" t="n"/>
      <c r="B1178" s="37" t="n"/>
      <c r="C1178" s="37" t="n"/>
      <c r="D1178" s="38">
        <f>IF(C1178="","",IFERROR(INDEX(Anuncios!$B$6:$B$65,MATCH(C1178,Anuncios!$A$6:$A$65,0)),"(no está en Anuncios)"))</f>
        <v/>
      </c>
      <c r="E1178" s="39" t="n"/>
      <c r="F1178" s="40" t="n"/>
      <c r="G1178" s="40" t="n"/>
      <c r="H1178" s="40" t="n"/>
      <c r="I1178" s="39" t="n"/>
      <c r="J1178" s="13">
        <f>IF(N(F1178)&gt;0,G1178/F1178,"")</f>
        <v/>
      </c>
      <c r="K1178" s="10">
        <f>IF(N(G1178)&gt;0,E1178/G1178,"")</f>
        <v/>
      </c>
      <c r="L1178" s="10">
        <f>IF(N(H1178)&gt;0,E1178/H1178,"")</f>
        <v/>
      </c>
      <c r="M1178" s="11">
        <f>IF(N(E1178)&gt;0,I1178/E1178,"")</f>
        <v/>
      </c>
      <c r="N1178" s="10">
        <f>IF(AND(E1178="",I1178=""),"",N(I1178)*(1-COM-COM_SHOP)-N(E1178)*(1+IMP_META))</f>
        <v/>
      </c>
      <c r="O1178" s="37" t="n"/>
    </row>
    <row r="1179">
      <c r="A1179" s="36" t="n"/>
      <c r="B1179" s="37" t="n"/>
      <c r="C1179" s="37" t="n"/>
      <c r="D1179" s="38">
        <f>IF(C1179="","",IFERROR(INDEX(Anuncios!$B$6:$B$65,MATCH(C1179,Anuncios!$A$6:$A$65,0)),"(no está en Anuncios)"))</f>
        <v/>
      </c>
      <c r="E1179" s="39" t="n"/>
      <c r="F1179" s="40" t="n"/>
      <c r="G1179" s="40" t="n"/>
      <c r="H1179" s="40" t="n"/>
      <c r="I1179" s="39" t="n"/>
      <c r="J1179" s="13">
        <f>IF(N(F1179)&gt;0,G1179/F1179,"")</f>
        <v/>
      </c>
      <c r="K1179" s="10">
        <f>IF(N(G1179)&gt;0,E1179/G1179,"")</f>
        <v/>
      </c>
      <c r="L1179" s="10">
        <f>IF(N(H1179)&gt;0,E1179/H1179,"")</f>
        <v/>
      </c>
      <c r="M1179" s="11">
        <f>IF(N(E1179)&gt;0,I1179/E1179,"")</f>
        <v/>
      </c>
      <c r="N1179" s="10">
        <f>IF(AND(E1179="",I1179=""),"",N(I1179)*(1-COM-COM_SHOP)-N(E1179)*(1+IMP_META))</f>
        <v/>
      </c>
      <c r="O1179" s="37" t="n"/>
    </row>
    <row r="1180">
      <c r="A1180" s="36" t="n"/>
      <c r="B1180" s="37" t="n"/>
      <c r="C1180" s="37" t="n"/>
      <c r="D1180" s="38">
        <f>IF(C1180="","",IFERROR(INDEX(Anuncios!$B$6:$B$65,MATCH(C1180,Anuncios!$A$6:$A$65,0)),"(no está en Anuncios)"))</f>
        <v/>
      </c>
      <c r="E1180" s="39" t="n"/>
      <c r="F1180" s="40" t="n"/>
      <c r="G1180" s="40" t="n"/>
      <c r="H1180" s="40" t="n"/>
      <c r="I1180" s="39" t="n"/>
      <c r="J1180" s="13">
        <f>IF(N(F1180)&gt;0,G1180/F1180,"")</f>
        <v/>
      </c>
      <c r="K1180" s="10">
        <f>IF(N(G1180)&gt;0,E1180/G1180,"")</f>
        <v/>
      </c>
      <c r="L1180" s="10">
        <f>IF(N(H1180)&gt;0,E1180/H1180,"")</f>
        <v/>
      </c>
      <c r="M1180" s="11">
        <f>IF(N(E1180)&gt;0,I1180/E1180,"")</f>
        <v/>
      </c>
      <c r="N1180" s="10">
        <f>IF(AND(E1180="",I1180=""),"",N(I1180)*(1-COM-COM_SHOP)-N(E1180)*(1+IMP_META))</f>
        <v/>
      </c>
      <c r="O1180" s="37" t="n"/>
    </row>
    <row r="1181">
      <c r="A1181" s="36" t="n"/>
      <c r="B1181" s="37" t="n"/>
      <c r="C1181" s="37" t="n"/>
      <c r="D1181" s="38">
        <f>IF(C1181="","",IFERROR(INDEX(Anuncios!$B$6:$B$65,MATCH(C1181,Anuncios!$A$6:$A$65,0)),"(no está en Anuncios)"))</f>
        <v/>
      </c>
      <c r="E1181" s="39" t="n"/>
      <c r="F1181" s="40" t="n"/>
      <c r="G1181" s="40" t="n"/>
      <c r="H1181" s="40" t="n"/>
      <c r="I1181" s="39" t="n"/>
      <c r="J1181" s="13">
        <f>IF(N(F1181)&gt;0,G1181/F1181,"")</f>
        <v/>
      </c>
      <c r="K1181" s="10">
        <f>IF(N(G1181)&gt;0,E1181/G1181,"")</f>
        <v/>
      </c>
      <c r="L1181" s="10">
        <f>IF(N(H1181)&gt;0,E1181/H1181,"")</f>
        <v/>
      </c>
      <c r="M1181" s="11">
        <f>IF(N(E1181)&gt;0,I1181/E1181,"")</f>
        <v/>
      </c>
      <c r="N1181" s="10">
        <f>IF(AND(E1181="",I1181=""),"",N(I1181)*(1-COM-COM_SHOP)-N(E1181)*(1+IMP_META))</f>
        <v/>
      </c>
      <c r="O1181" s="37" t="n"/>
    </row>
    <row r="1182">
      <c r="A1182" s="36" t="n"/>
      <c r="B1182" s="37" t="n"/>
      <c r="C1182" s="37" t="n"/>
      <c r="D1182" s="38">
        <f>IF(C1182="","",IFERROR(INDEX(Anuncios!$B$6:$B$65,MATCH(C1182,Anuncios!$A$6:$A$65,0)),"(no está en Anuncios)"))</f>
        <v/>
      </c>
      <c r="E1182" s="39" t="n"/>
      <c r="F1182" s="40" t="n"/>
      <c r="G1182" s="40" t="n"/>
      <c r="H1182" s="40" t="n"/>
      <c r="I1182" s="39" t="n"/>
      <c r="J1182" s="13">
        <f>IF(N(F1182)&gt;0,G1182/F1182,"")</f>
        <v/>
      </c>
      <c r="K1182" s="10">
        <f>IF(N(G1182)&gt;0,E1182/G1182,"")</f>
        <v/>
      </c>
      <c r="L1182" s="10">
        <f>IF(N(H1182)&gt;0,E1182/H1182,"")</f>
        <v/>
      </c>
      <c r="M1182" s="11">
        <f>IF(N(E1182)&gt;0,I1182/E1182,"")</f>
        <v/>
      </c>
      <c r="N1182" s="10">
        <f>IF(AND(E1182="",I1182=""),"",N(I1182)*(1-COM-COM_SHOP)-N(E1182)*(1+IMP_META))</f>
        <v/>
      </c>
      <c r="O1182" s="37" t="n"/>
    </row>
    <row r="1183">
      <c r="A1183" s="36" t="n"/>
      <c r="B1183" s="37" t="n"/>
      <c r="C1183" s="37" t="n"/>
      <c r="D1183" s="38">
        <f>IF(C1183="","",IFERROR(INDEX(Anuncios!$B$6:$B$65,MATCH(C1183,Anuncios!$A$6:$A$65,0)),"(no está en Anuncios)"))</f>
        <v/>
      </c>
      <c r="E1183" s="39" t="n"/>
      <c r="F1183" s="40" t="n"/>
      <c r="G1183" s="40" t="n"/>
      <c r="H1183" s="40" t="n"/>
      <c r="I1183" s="39" t="n"/>
      <c r="J1183" s="13">
        <f>IF(N(F1183)&gt;0,G1183/F1183,"")</f>
        <v/>
      </c>
      <c r="K1183" s="10">
        <f>IF(N(G1183)&gt;0,E1183/G1183,"")</f>
        <v/>
      </c>
      <c r="L1183" s="10">
        <f>IF(N(H1183)&gt;0,E1183/H1183,"")</f>
        <v/>
      </c>
      <c r="M1183" s="11">
        <f>IF(N(E1183)&gt;0,I1183/E1183,"")</f>
        <v/>
      </c>
      <c r="N1183" s="10">
        <f>IF(AND(E1183="",I1183=""),"",N(I1183)*(1-COM-COM_SHOP)-N(E1183)*(1+IMP_META))</f>
        <v/>
      </c>
      <c r="O1183" s="37" t="n"/>
    </row>
    <row r="1184">
      <c r="A1184" s="36" t="n"/>
      <c r="B1184" s="37" t="n"/>
      <c r="C1184" s="37" t="n"/>
      <c r="D1184" s="38">
        <f>IF(C1184="","",IFERROR(INDEX(Anuncios!$B$6:$B$65,MATCH(C1184,Anuncios!$A$6:$A$65,0)),"(no está en Anuncios)"))</f>
        <v/>
      </c>
      <c r="E1184" s="39" t="n"/>
      <c r="F1184" s="40" t="n"/>
      <c r="G1184" s="40" t="n"/>
      <c r="H1184" s="40" t="n"/>
      <c r="I1184" s="39" t="n"/>
      <c r="J1184" s="13">
        <f>IF(N(F1184)&gt;0,G1184/F1184,"")</f>
        <v/>
      </c>
      <c r="K1184" s="10">
        <f>IF(N(G1184)&gt;0,E1184/G1184,"")</f>
        <v/>
      </c>
      <c r="L1184" s="10">
        <f>IF(N(H1184)&gt;0,E1184/H1184,"")</f>
        <v/>
      </c>
      <c r="M1184" s="11">
        <f>IF(N(E1184)&gt;0,I1184/E1184,"")</f>
        <v/>
      </c>
      <c r="N1184" s="10">
        <f>IF(AND(E1184="",I1184=""),"",N(I1184)*(1-COM-COM_SHOP)-N(E1184)*(1+IMP_META))</f>
        <v/>
      </c>
      <c r="O1184" s="37" t="n"/>
    </row>
    <row r="1185">
      <c r="A1185" s="36" t="n"/>
      <c r="B1185" s="37" t="n"/>
      <c r="C1185" s="37" t="n"/>
      <c r="D1185" s="38">
        <f>IF(C1185="","",IFERROR(INDEX(Anuncios!$B$6:$B$65,MATCH(C1185,Anuncios!$A$6:$A$65,0)),"(no está en Anuncios)"))</f>
        <v/>
      </c>
      <c r="E1185" s="39" t="n"/>
      <c r="F1185" s="40" t="n"/>
      <c r="G1185" s="40" t="n"/>
      <c r="H1185" s="40" t="n"/>
      <c r="I1185" s="39" t="n"/>
      <c r="J1185" s="13">
        <f>IF(N(F1185)&gt;0,G1185/F1185,"")</f>
        <v/>
      </c>
      <c r="K1185" s="10">
        <f>IF(N(G1185)&gt;0,E1185/G1185,"")</f>
        <v/>
      </c>
      <c r="L1185" s="10">
        <f>IF(N(H1185)&gt;0,E1185/H1185,"")</f>
        <v/>
      </c>
      <c r="M1185" s="11">
        <f>IF(N(E1185)&gt;0,I1185/E1185,"")</f>
        <v/>
      </c>
      <c r="N1185" s="10">
        <f>IF(AND(E1185="",I1185=""),"",N(I1185)*(1-COM-COM_SHOP)-N(E1185)*(1+IMP_META))</f>
        <v/>
      </c>
      <c r="O1185" s="37" t="n"/>
    </row>
    <row r="1186">
      <c r="A1186" s="36" t="n"/>
      <c r="B1186" s="37" t="n"/>
      <c r="C1186" s="37" t="n"/>
      <c r="D1186" s="38">
        <f>IF(C1186="","",IFERROR(INDEX(Anuncios!$B$6:$B$65,MATCH(C1186,Anuncios!$A$6:$A$65,0)),"(no está en Anuncios)"))</f>
        <v/>
      </c>
      <c r="E1186" s="39" t="n"/>
      <c r="F1186" s="40" t="n"/>
      <c r="G1186" s="40" t="n"/>
      <c r="H1186" s="40" t="n"/>
      <c r="I1186" s="39" t="n"/>
      <c r="J1186" s="13">
        <f>IF(N(F1186)&gt;0,G1186/F1186,"")</f>
        <v/>
      </c>
      <c r="K1186" s="10">
        <f>IF(N(G1186)&gt;0,E1186/G1186,"")</f>
        <v/>
      </c>
      <c r="L1186" s="10">
        <f>IF(N(H1186)&gt;0,E1186/H1186,"")</f>
        <v/>
      </c>
      <c r="M1186" s="11">
        <f>IF(N(E1186)&gt;0,I1186/E1186,"")</f>
        <v/>
      </c>
      <c r="N1186" s="10">
        <f>IF(AND(E1186="",I1186=""),"",N(I1186)*(1-COM-COM_SHOP)-N(E1186)*(1+IMP_META))</f>
        <v/>
      </c>
      <c r="O1186" s="37" t="n"/>
    </row>
    <row r="1187">
      <c r="A1187" s="36" t="n"/>
      <c r="B1187" s="37" t="n"/>
      <c r="C1187" s="37" t="n"/>
      <c r="D1187" s="38">
        <f>IF(C1187="","",IFERROR(INDEX(Anuncios!$B$6:$B$65,MATCH(C1187,Anuncios!$A$6:$A$65,0)),"(no está en Anuncios)"))</f>
        <v/>
      </c>
      <c r="E1187" s="39" t="n"/>
      <c r="F1187" s="40" t="n"/>
      <c r="G1187" s="40" t="n"/>
      <c r="H1187" s="40" t="n"/>
      <c r="I1187" s="39" t="n"/>
      <c r="J1187" s="13">
        <f>IF(N(F1187)&gt;0,G1187/F1187,"")</f>
        <v/>
      </c>
      <c r="K1187" s="10">
        <f>IF(N(G1187)&gt;0,E1187/G1187,"")</f>
        <v/>
      </c>
      <c r="L1187" s="10">
        <f>IF(N(H1187)&gt;0,E1187/H1187,"")</f>
        <v/>
      </c>
      <c r="M1187" s="11">
        <f>IF(N(E1187)&gt;0,I1187/E1187,"")</f>
        <v/>
      </c>
      <c r="N1187" s="10">
        <f>IF(AND(E1187="",I1187=""),"",N(I1187)*(1-COM-COM_SHOP)-N(E1187)*(1+IMP_META))</f>
        <v/>
      </c>
      <c r="O1187" s="37" t="n"/>
    </row>
    <row r="1188">
      <c r="A1188" s="36" t="n"/>
      <c r="B1188" s="37" t="n"/>
      <c r="C1188" s="37" t="n"/>
      <c r="D1188" s="38">
        <f>IF(C1188="","",IFERROR(INDEX(Anuncios!$B$6:$B$65,MATCH(C1188,Anuncios!$A$6:$A$65,0)),"(no está en Anuncios)"))</f>
        <v/>
      </c>
      <c r="E1188" s="39" t="n"/>
      <c r="F1188" s="40" t="n"/>
      <c r="G1188" s="40" t="n"/>
      <c r="H1188" s="40" t="n"/>
      <c r="I1188" s="39" t="n"/>
      <c r="J1188" s="13">
        <f>IF(N(F1188)&gt;0,G1188/F1188,"")</f>
        <v/>
      </c>
      <c r="K1188" s="10">
        <f>IF(N(G1188)&gt;0,E1188/G1188,"")</f>
        <v/>
      </c>
      <c r="L1188" s="10">
        <f>IF(N(H1188)&gt;0,E1188/H1188,"")</f>
        <v/>
      </c>
      <c r="M1188" s="11">
        <f>IF(N(E1188)&gt;0,I1188/E1188,"")</f>
        <v/>
      </c>
      <c r="N1188" s="10">
        <f>IF(AND(E1188="",I1188=""),"",N(I1188)*(1-COM-COM_SHOP)-N(E1188)*(1+IMP_META))</f>
        <v/>
      </c>
      <c r="O1188" s="37" t="n"/>
    </row>
    <row r="1189">
      <c r="A1189" s="36" t="n"/>
      <c r="B1189" s="37" t="n"/>
      <c r="C1189" s="37" t="n"/>
      <c r="D1189" s="38">
        <f>IF(C1189="","",IFERROR(INDEX(Anuncios!$B$6:$B$65,MATCH(C1189,Anuncios!$A$6:$A$65,0)),"(no está en Anuncios)"))</f>
        <v/>
      </c>
      <c r="E1189" s="39" t="n"/>
      <c r="F1189" s="40" t="n"/>
      <c r="G1189" s="40" t="n"/>
      <c r="H1189" s="40" t="n"/>
      <c r="I1189" s="39" t="n"/>
      <c r="J1189" s="13">
        <f>IF(N(F1189)&gt;0,G1189/F1189,"")</f>
        <v/>
      </c>
      <c r="K1189" s="10">
        <f>IF(N(G1189)&gt;0,E1189/G1189,"")</f>
        <v/>
      </c>
      <c r="L1189" s="10">
        <f>IF(N(H1189)&gt;0,E1189/H1189,"")</f>
        <v/>
      </c>
      <c r="M1189" s="11">
        <f>IF(N(E1189)&gt;0,I1189/E1189,"")</f>
        <v/>
      </c>
      <c r="N1189" s="10">
        <f>IF(AND(E1189="",I1189=""),"",N(I1189)*(1-COM-COM_SHOP)-N(E1189)*(1+IMP_META))</f>
        <v/>
      </c>
      <c r="O1189" s="37" t="n"/>
    </row>
    <row r="1190">
      <c r="A1190" s="36" t="n"/>
      <c r="B1190" s="37" t="n"/>
      <c r="C1190" s="37" t="n"/>
      <c r="D1190" s="38">
        <f>IF(C1190="","",IFERROR(INDEX(Anuncios!$B$6:$B$65,MATCH(C1190,Anuncios!$A$6:$A$65,0)),"(no está en Anuncios)"))</f>
        <v/>
      </c>
      <c r="E1190" s="39" t="n"/>
      <c r="F1190" s="40" t="n"/>
      <c r="G1190" s="40" t="n"/>
      <c r="H1190" s="40" t="n"/>
      <c r="I1190" s="39" t="n"/>
      <c r="J1190" s="13">
        <f>IF(N(F1190)&gt;0,G1190/F1190,"")</f>
        <v/>
      </c>
      <c r="K1190" s="10">
        <f>IF(N(G1190)&gt;0,E1190/G1190,"")</f>
        <v/>
      </c>
      <c r="L1190" s="10">
        <f>IF(N(H1190)&gt;0,E1190/H1190,"")</f>
        <v/>
      </c>
      <c r="M1190" s="11">
        <f>IF(N(E1190)&gt;0,I1190/E1190,"")</f>
        <v/>
      </c>
      <c r="N1190" s="10">
        <f>IF(AND(E1190="",I1190=""),"",N(I1190)*(1-COM-COM_SHOP)-N(E1190)*(1+IMP_META))</f>
        <v/>
      </c>
      <c r="O1190" s="37" t="n"/>
    </row>
    <row r="1191">
      <c r="A1191" s="36" t="n"/>
      <c r="B1191" s="37" t="n"/>
      <c r="C1191" s="37" t="n"/>
      <c r="D1191" s="38">
        <f>IF(C1191="","",IFERROR(INDEX(Anuncios!$B$6:$B$65,MATCH(C1191,Anuncios!$A$6:$A$65,0)),"(no está en Anuncios)"))</f>
        <v/>
      </c>
      <c r="E1191" s="39" t="n"/>
      <c r="F1191" s="40" t="n"/>
      <c r="G1191" s="40" t="n"/>
      <c r="H1191" s="40" t="n"/>
      <c r="I1191" s="39" t="n"/>
      <c r="J1191" s="13">
        <f>IF(N(F1191)&gt;0,G1191/F1191,"")</f>
        <v/>
      </c>
      <c r="K1191" s="10">
        <f>IF(N(G1191)&gt;0,E1191/G1191,"")</f>
        <v/>
      </c>
      <c r="L1191" s="10">
        <f>IF(N(H1191)&gt;0,E1191/H1191,"")</f>
        <v/>
      </c>
      <c r="M1191" s="11">
        <f>IF(N(E1191)&gt;0,I1191/E1191,"")</f>
        <v/>
      </c>
      <c r="N1191" s="10">
        <f>IF(AND(E1191="",I1191=""),"",N(I1191)*(1-COM-COM_SHOP)-N(E1191)*(1+IMP_META))</f>
        <v/>
      </c>
      <c r="O1191" s="37" t="n"/>
    </row>
    <row r="1192">
      <c r="A1192" s="36" t="n"/>
      <c r="B1192" s="37" t="n"/>
      <c r="C1192" s="37" t="n"/>
      <c r="D1192" s="38">
        <f>IF(C1192="","",IFERROR(INDEX(Anuncios!$B$6:$B$65,MATCH(C1192,Anuncios!$A$6:$A$65,0)),"(no está en Anuncios)"))</f>
        <v/>
      </c>
      <c r="E1192" s="39" t="n"/>
      <c r="F1192" s="40" t="n"/>
      <c r="G1192" s="40" t="n"/>
      <c r="H1192" s="40" t="n"/>
      <c r="I1192" s="39" t="n"/>
      <c r="J1192" s="13">
        <f>IF(N(F1192)&gt;0,G1192/F1192,"")</f>
        <v/>
      </c>
      <c r="K1192" s="10">
        <f>IF(N(G1192)&gt;0,E1192/G1192,"")</f>
        <v/>
      </c>
      <c r="L1192" s="10">
        <f>IF(N(H1192)&gt;0,E1192/H1192,"")</f>
        <v/>
      </c>
      <c r="M1192" s="11">
        <f>IF(N(E1192)&gt;0,I1192/E1192,"")</f>
        <v/>
      </c>
      <c r="N1192" s="10">
        <f>IF(AND(E1192="",I1192=""),"",N(I1192)*(1-COM-COM_SHOP)-N(E1192)*(1+IMP_META))</f>
        <v/>
      </c>
      <c r="O1192" s="37" t="n"/>
    </row>
    <row r="1193">
      <c r="A1193" s="36" t="n"/>
      <c r="B1193" s="37" t="n"/>
      <c r="C1193" s="37" t="n"/>
      <c r="D1193" s="38">
        <f>IF(C1193="","",IFERROR(INDEX(Anuncios!$B$6:$B$65,MATCH(C1193,Anuncios!$A$6:$A$65,0)),"(no está en Anuncios)"))</f>
        <v/>
      </c>
      <c r="E1193" s="39" t="n"/>
      <c r="F1193" s="40" t="n"/>
      <c r="G1193" s="40" t="n"/>
      <c r="H1193" s="40" t="n"/>
      <c r="I1193" s="39" t="n"/>
      <c r="J1193" s="13">
        <f>IF(N(F1193)&gt;0,G1193/F1193,"")</f>
        <v/>
      </c>
      <c r="K1193" s="10">
        <f>IF(N(G1193)&gt;0,E1193/G1193,"")</f>
        <v/>
      </c>
      <c r="L1193" s="10">
        <f>IF(N(H1193)&gt;0,E1193/H1193,"")</f>
        <v/>
      </c>
      <c r="M1193" s="11">
        <f>IF(N(E1193)&gt;0,I1193/E1193,"")</f>
        <v/>
      </c>
      <c r="N1193" s="10">
        <f>IF(AND(E1193="",I1193=""),"",N(I1193)*(1-COM-COM_SHOP)-N(E1193)*(1+IMP_META))</f>
        <v/>
      </c>
      <c r="O1193" s="37" t="n"/>
    </row>
    <row r="1194">
      <c r="A1194" s="36" t="n"/>
      <c r="B1194" s="37" t="n"/>
      <c r="C1194" s="37" t="n"/>
      <c r="D1194" s="38">
        <f>IF(C1194="","",IFERROR(INDEX(Anuncios!$B$6:$B$65,MATCH(C1194,Anuncios!$A$6:$A$65,0)),"(no está en Anuncios)"))</f>
        <v/>
      </c>
      <c r="E1194" s="39" t="n"/>
      <c r="F1194" s="40" t="n"/>
      <c r="G1194" s="40" t="n"/>
      <c r="H1194" s="40" t="n"/>
      <c r="I1194" s="39" t="n"/>
      <c r="J1194" s="13">
        <f>IF(N(F1194)&gt;0,G1194/F1194,"")</f>
        <v/>
      </c>
      <c r="K1194" s="10">
        <f>IF(N(G1194)&gt;0,E1194/G1194,"")</f>
        <v/>
      </c>
      <c r="L1194" s="10">
        <f>IF(N(H1194)&gt;0,E1194/H1194,"")</f>
        <v/>
      </c>
      <c r="M1194" s="11">
        <f>IF(N(E1194)&gt;0,I1194/E1194,"")</f>
        <v/>
      </c>
      <c r="N1194" s="10">
        <f>IF(AND(E1194="",I1194=""),"",N(I1194)*(1-COM-COM_SHOP)-N(E1194)*(1+IMP_META))</f>
        <v/>
      </c>
      <c r="O1194" s="37" t="n"/>
    </row>
    <row r="1195">
      <c r="A1195" s="36" t="n"/>
      <c r="B1195" s="37" t="n"/>
      <c r="C1195" s="37" t="n"/>
      <c r="D1195" s="38">
        <f>IF(C1195="","",IFERROR(INDEX(Anuncios!$B$6:$B$65,MATCH(C1195,Anuncios!$A$6:$A$65,0)),"(no está en Anuncios)"))</f>
        <v/>
      </c>
      <c r="E1195" s="39" t="n"/>
      <c r="F1195" s="40" t="n"/>
      <c r="G1195" s="40" t="n"/>
      <c r="H1195" s="40" t="n"/>
      <c r="I1195" s="39" t="n"/>
      <c r="J1195" s="13">
        <f>IF(N(F1195)&gt;0,G1195/F1195,"")</f>
        <v/>
      </c>
      <c r="K1195" s="10">
        <f>IF(N(G1195)&gt;0,E1195/G1195,"")</f>
        <v/>
      </c>
      <c r="L1195" s="10">
        <f>IF(N(H1195)&gt;0,E1195/H1195,"")</f>
        <v/>
      </c>
      <c r="M1195" s="11">
        <f>IF(N(E1195)&gt;0,I1195/E1195,"")</f>
        <v/>
      </c>
      <c r="N1195" s="10">
        <f>IF(AND(E1195="",I1195=""),"",N(I1195)*(1-COM-COM_SHOP)-N(E1195)*(1+IMP_META))</f>
        <v/>
      </c>
      <c r="O1195" s="37" t="n"/>
    </row>
    <row r="1196">
      <c r="A1196" s="36" t="n"/>
      <c r="B1196" s="37" t="n"/>
      <c r="C1196" s="37" t="n"/>
      <c r="D1196" s="38">
        <f>IF(C1196="","",IFERROR(INDEX(Anuncios!$B$6:$B$65,MATCH(C1196,Anuncios!$A$6:$A$65,0)),"(no está en Anuncios)"))</f>
        <v/>
      </c>
      <c r="E1196" s="39" t="n"/>
      <c r="F1196" s="40" t="n"/>
      <c r="G1196" s="40" t="n"/>
      <c r="H1196" s="40" t="n"/>
      <c r="I1196" s="39" t="n"/>
      <c r="J1196" s="13">
        <f>IF(N(F1196)&gt;0,G1196/F1196,"")</f>
        <v/>
      </c>
      <c r="K1196" s="10">
        <f>IF(N(G1196)&gt;0,E1196/G1196,"")</f>
        <v/>
      </c>
      <c r="L1196" s="10">
        <f>IF(N(H1196)&gt;0,E1196/H1196,"")</f>
        <v/>
      </c>
      <c r="M1196" s="11">
        <f>IF(N(E1196)&gt;0,I1196/E1196,"")</f>
        <v/>
      </c>
      <c r="N1196" s="10">
        <f>IF(AND(E1196="",I1196=""),"",N(I1196)*(1-COM-COM_SHOP)-N(E1196)*(1+IMP_META))</f>
        <v/>
      </c>
      <c r="O1196" s="37" t="n"/>
    </row>
    <row r="1197">
      <c r="A1197" s="36" t="n"/>
      <c r="B1197" s="37" t="n"/>
      <c r="C1197" s="37" t="n"/>
      <c r="D1197" s="38">
        <f>IF(C1197="","",IFERROR(INDEX(Anuncios!$B$6:$B$65,MATCH(C1197,Anuncios!$A$6:$A$65,0)),"(no está en Anuncios)"))</f>
        <v/>
      </c>
      <c r="E1197" s="39" t="n"/>
      <c r="F1197" s="40" t="n"/>
      <c r="G1197" s="40" t="n"/>
      <c r="H1197" s="40" t="n"/>
      <c r="I1197" s="39" t="n"/>
      <c r="J1197" s="13">
        <f>IF(N(F1197)&gt;0,G1197/F1197,"")</f>
        <v/>
      </c>
      <c r="K1197" s="10">
        <f>IF(N(G1197)&gt;0,E1197/G1197,"")</f>
        <v/>
      </c>
      <c r="L1197" s="10">
        <f>IF(N(H1197)&gt;0,E1197/H1197,"")</f>
        <v/>
      </c>
      <c r="M1197" s="11">
        <f>IF(N(E1197)&gt;0,I1197/E1197,"")</f>
        <v/>
      </c>
      <c r="N1197" s="10">
        <f>IF(AND(E1197="",I1197=""),"",N(I1197)*(1-COM-COM_SHOP)-N(E1197)*(1+IMP_META))</f>
        <v/>
      </c>
      <c r="O1197" s="37" t="n"/>
    </row>
    <row r="1198">
      <c r="A1198" s="36" t="n"/>
      <c r="B1198" s="37" t="n"/>
      <c r="C1198" s="37" t="n"/>
      <c r="D1198" s="38">
        <f>IF(C1198="","",IFERROR(INDEX(Anuncios!$B$6:$B$65,MATCH(C1198,Anuncios!$A$6:$A$65,0)),"(no está en Anuncios)"))</f>
        <v/>
      </c>
      <c r="E1198" s="39" t="n"/>
      <c r="F1198" s="40" t="n"/>
      <c r="G1198" s="40" t="n"/>
      <c r="H1198" s="40" t="n"/>
      <c r="I1198" s="39" t="n"/>
      <c r="J1198" s="13">
        <f>IF(N(F1198)&gt;0,G1198/F1198,"")</f>
        <v/>
      </c>
      <c r="K1198" s="10">
        <f>IF(N(G1198)&gt;0,E1198/G1198,"")</f>
        <v/>
      </c>
      <c r="L1198" s="10">
        <f>IF(N(H1198)&gt;0,E1198/H1198,"")</f>
        <v/>
      </c>
      <c r="M1198" s="11">
        <f>IF(N(E1198)&gt;0,I1198/E1198,"")</f>
        <v/>
      </c>
      <c r="N1198" s="10">
        <f>IF(AND(E1198="",I1198=""),"",N(I1198)*(1-COM-COM_SHOP)-N(E1198)*(1+IMP_META))</f>
        <v/>
      </c>
      <c r="O1198" s="37" t="n"/>
    </row>
    <row r="1199">
      <c r="A1199" s="36" t="n"/>
      <c r="B1199" s="37" t="n"/>
      <c r="C1199" s="37" t="n"/>
      <c r="D1199" s="38">
        <f>IF(C1199="","",IFERROR(INDEX(Anuncios!$B$6:$B$65,MATCH(C1199,Anuncios!$A$6:$A$65,0)),"(no está en Anuncios)"))</f>
        <v/>
      </c>
      <c r="E1199" s="39" t="n"/>
      <c r="F1199" s="40" t="n"/>
      <c r="G1199" s="40" t="n"/>
      <c r="H1199" s="40" t="n"/>
      <c r="I1199" s="39" t="n"/>
      <c r="J1199" s="13">
        <f>IF(N(F1199)&gt;0,G1199/F1199,"")</f>
        <v/>
      </c>
      <c r="K1199" s="10">
        <f>IF(N(G1199)&gt;0,E1199/G1199,"")</f>
        <v/>
      </c>
      <c r="L1199" s="10">
        <f>IF(N(H1199)&gt;0,E1199/H1199,"")</f>
        <v/>
      </c>
      <c r="M1199" s="11">
        <f>IF(N(E1199)&gt;0,I1199/E1199,"")</f>
        <v/>
      </c>
      <c r="N1199" s="10">
        <f>IF(AND(E1199="",I1199=""),"",N(I1199)*(1-COM-COM_SHOP)-N(E1199)*(1+IMP_META))</f>
        <v/>
      </c>
      <c r="O1199" s="37" t="n"/>
    </row>
    <row r="1200">
      <c r="A1200" s="36" t="n"/>
      <c r="B1200" s="37" t="n"/>
      <c r="C1200" s="37" t="n"/>
      <c r="D1200" s="38">
        <f>IF(C1200="","",IFERROR(INDEX(Anuncios!$B$6:$B$65,MATCH(C1200,Anuncios!$A$6:$A$65,0)),"(no está en Anuncios)"))</f>
        <v/>
      </c>
      <c r="E1200" s="39" t="n"/>
      <c r="F1200" s="40" t="n"/>
      <c r="G1200" s="40" t="n"/>
      <c r="H1200" s="40" t="n"/>
      <c r="I1200" s="39" t="n"/>
      <c r="J1200" s="13">
        <f>IF(N(F1200)&gt;0,G1200/F1200,"")</f>
        <v/>
      </c>
      <c r="K1200" s="10">
        <f>IF(N(G1200)&gt;0,E1200/G1200,"")</f>
        <v/>
      </c>
      <c r="L1200" s="10">
        <f>IF(N(H1200)&gt;0,E1200/H1200,"")</f>
        <v/>
      </c>
      <c r="M1200" s="11">
        <f>IF(N(E1200)&gt;0,I1200/E1200,"")</f>
        <v/>
      </c>
      <c r="N1200" s="10">
        <f>IF(AND(E1200="",I1200=""),"",N(I1200)*(1-COM-COM_SHOP)-N(E1200)*(1+IMP_META))</f>
        <v/>
      </c>
      <c r="O1200" s="37" t="n"/>
    </row>
    <row r="1201">
      <c r="A1201" s="36" t="n"/>
      <c r="B1201" s="37" t="n"/>
      <c r="C1201" s="37" t="n"/>
      <c r="D1201" s="38">
        <f>IF(C1201="","",IFERROR(INDEX(Anuncios!$B$6:$B$65,MATCH(C1201,Anuncios!$A$6:$A$65,0)),"(no está en Anuncios)"))</f>
        <v/>
      </c>
      <c r="E1201" s="39" t="n"/>
      <c r="F1201" s="40" t="n"/>
      <c r="G1201" s="40" t="n"/>
      <c r="H1201" s="40" t="n"/>
      <c r="I1201" s="39" t="n"/>
      <c r="J1201" s="13">
        <f>IF(N(F1201)&gt;0,G1201/F1201,"")</f>
        <v/>
      </c>
      <c r="K1201" s="10">
        <f>IF(N(G1201)&gt;0,E1201/G1201,"")</f>
        <v/>
      </c>
      <c r="L1201" s="10">
        <f>IF(N(H1201)&gt;0,E1201/H1201,"")</f>
        <v/>
      </c>
      <c r="M1201" s="11">
        <f>IF(N(E1201)&gt;0,I1201/E1201,"")</f>
        <v/>
      </c>
      <c r="N1201" s="10">
        <f>IF(AND(E1201="",I1201=""),"",N(I1201)*(1-COM-COM_SHOP)-N(E1201)*(1+IMP_META))</f>
        <v/>
      </c>
      <c r="O1201" s="37" t="n"/>
    </row>
    <row r="1202">
      <c r="A1202" s="36" t="n"/>
      <c r="B1202" s="37" t="n"/>
      <c r="C1202" s="37" t="n"/>
      <c r="D1202" s="38">
        <f>IF(C1202="","",IFERROR(INDEX(Anuncios!$B$6:$B$65,MATCH(C1202,Anuncios!$A$6:$A$65,0)),"(no está en Anuncios)"))</f>
        <v/>
      </c>
      <c r="E1202" s="39" t="n"/>
      <c r="F1202" s="40" t="n"/>
      <c r="G1202" s="40" t="n"/>
      <c r="H1202" s="40" t="n"/>
      <c r="I1202" s="39" t="n"/>
      <c r="J1202" s="13">
        <f>IF(N(F1202)&gt;0,G1202/F1202,"")</f>
        <v/>
      </c>
      <c r="K1202" s="10">
        <f>IF(N(G1202)&gt;0,E1202/G1202,"")</f>
        <v/>
      </c>
      <c r="L1202" s="10">
        <f>IF(N(H1202)&gt;0,E1202/H1202,"")</f>
        <v/>
      </c>
      <c r="M1202" s="11">
        <f>IF(N(E1202)&gt;0,I1202/E1202,"")</f>
        <v/>
      </c>
      <c r="N1202" s="10">
        <f>IF(AND(E1202="",I1202=""),"",N(I1202)*(1-COM-COM_SHOP)-N(E1202)*(1+IMP_META))</f>
        <v/>
      </c>
      <c r="O1202" s="37" t="n"/>
    </row>
    <row r="1203">
      <c r="A1203" s="36" t="n"/>
      <c r="B1203" s="37" t="n"/>
      <c r="C1203" s="37" t="n"/>
      <c r="D1203" s="38">
        <f>IF(C1203="","",IFERROR(INDEX(Anuncios!$B$6:$B$65,MATCH(C1203,Anuncios!$A$6:$A$65,0)),"(no está en Anuncios)"))</f>
        <v/>
      </c>
      <c r="E1203" s="39" t="n"/>
      <c r="F1203" s="40" t="n"/>
      <c r="G1203" s="40" t="n"/>
      <c r="H1203" s="40" t="n"/>
      <c r="I1203" s="39" t="n"/>
      <c r="J1203" s="13">
        <f>IF(N(F1203)&gt;0,G1203/F1203,"")</f>
        <v/>
      </c>
      <c r="K1203" s="10">
        <f>IF(N(G1203)&gt;0,E1203/G1203,"")</f>
        <v/>
      </c>
      <c r="L1203" s="10">
        <f>IF(N(H1203)&gt;0,E1203/H1203,"")</f>
        <v/>
      </c>
      <c r="M1203" s="11">
        <f>IF(N(E1203)&gt;0,I1203/E1203,"")</f>
        <v/>
      </c>
      <c r="N1203" s="10">
        <f>IF(AND(E1203="",I1203=""),"",N(I1203)*(1-COM-COM_SHOP)-N(E1203)*(1+IMP_META))</f>
        <v/>
      </c>
      <c r="O1203" s="37" t="n"/>
    </row>
    <row r="1204">
      <c r="A1204" s="36" t="n"/>
      <c r="B1204" s="37" t="n"/>
      <c r="C1204" s="37" t="n"/>
      <c r="D1204" s="38">
        <f>IF(C1204="","",IFERROR(INDEX(Anuncios!$B$6:$B$65,MATCH(C1204,Anuncios!$A$6:$A$65,0)),"(no está en Anuncios)"))</f>
        <v/>
      </c>
      <c r="E1204" s="39" t="n"/>
      <c r="F1204" s="40" t="n"/>
      <c r="G1204" s="40" t="n"/>
      <c r="H1204" s="40" t="n"/>
      <c r="I1204" s="39" t="n"/>
      <c r="J1204" s="13">
        <f>IF(N(F1204)&gt;0,G1204/F1204,"")</f>
        <v/>
      </c>
      <c r="K1204" s="10">
        <f>IF(N(G1204)&gt;0,E1204/G1204,"")</f>
        <v/>
      </c>
      <c r="L1204" s="10">
        <f>IF(N(H1204)&gt;0,E1204/H1204,"")</f>
        <v/>
      </c>
      <c r="M1204" s="11">
        <f>IF(N(E1204)&gt;0,I1204/E1204,"")</f>
        <v/>
      </c>
      <c r="N1204" s="10">
        <f>IF(AND(E1204="",I1204=""),"",N(I1204)*(1-COM-COM_SHOP)-N(E1204)*(1+IMP_META))</f>
        <v/>
      </c>
      <c r="O1204" s="37" t="n"/>
    </row>
    <row r="1205">
      <c r="A1205" s="36" t="n"/>
      <c r="B1205" s="37" t="n"/>
      <c r="C1205" s="37" t="n"/>
      <c r="D1205" s="38">
        <f>IF(C1205="","",IFERROR(INDEX(Anuncios!$B$6:$B$65,MATCH(C1205,Anuncios!$A$6:$A$65,0)),"(no está en Anuncios)"))</f>
        <v/>
      </c>
      <c r="E1205" s="39" t="n"/>
      <c r="F1205" s="40" t="n"/>
      <c r="G1205" s="40" t="n"/>
      <c r="H1205" s="40" t="n"/>
      <c r="I1205" s="39" t="n"/>
      <c r="J1205" s="13">
        <f>IF(N(F1205)&gt;0,G1205/F1205,"")</f>
        <v/>
      </c>
      <c r="K1205" s="10">
        <f>IF(N(G1205)&gt;0,E1205/G1205,"")</f>
        <v/>
      </c>
      <c r="L1205" s="10">
        <f>IF(N(H1205)&gt;0,E1205/H1205,"")</f>
        <v/>
      </c>
      <c r="M1205" s="11">
        <f>IF(N(E1205)&gt;0,I1205/E1205,"")</f>
        <v/>
      </c>
      <c r="N1205" s="10">
        <f>IF(AND(E1205="",I1205=""),"",N(I1205)*(1-COM-COM_SHOP)-N(E1205)*(1+IMP_META))</f>
        <v/>
      </c>
      <c r="O1205" s="37" t="n"/>
    </row>
    <row r="1206">
      <c r="A1206" s="36" t="n"/>
      <c r="B1206" s="37" t="n"/>
      <c r="C1206" s="37" t="n"/>
      <c r="D1206" s="38">
        <f>IF(C1206="","",IFERROR(INDEX(Anuncios!$B$6:$B$65,MATCH(C1206,Anuncios!$A$6:$A$65,0)),"(no está en Anuncios)"))</f>
        <v/>
      </c>
      <c r="E1206" s="39" t="n"/>
      <c r="F1206" s="40" t="n"/>
      <c r="G1206" s="40" t="n"/>
      <c r="H1206" s="40" t="n"/>
      <c r="I1206" s="39" t="n"/>
      <c r="J1206" s="13">
        <f>IF(N(F1206)&gt;0,G1206/F1206,"")</f>
        <v/>
      </c>
      <c r="K1206" s="10">
        <f>IF(N(G1206)&gt;0,E1206/G1206,"")</f>
        <v/>
      </c>
      <c r="L1206" s="10">
        <f>IF(N(H1206)&gt;0,E1206/H1206,"")</f>
        <v/>
      </c>
      <c r="M1206" s="11">
        <f>IF(N(E1206)&gt;0,I1206/E1206,"")</f>
        <v/>
      </c>
      <c r="N1206" s="10">
        <f>IF(AND(E1206="",I1206=""),"",N(I1206)*(1-COM-COM_SHOP)-N(E1206)*(1+IMP_META))</f>
        <v/>
      </c>
      <c r="O1206" s="37" t="n"/>
    </row>
    <row r="1207">
      <c r="A1207" s="36" t="n"/>
      <c r="B1207" s="37" t="n"/>
      <c r="C1207" s="37" t="n"/>
      <c r="D1207" s="38">
        <f>IF(C1207="","",IFERROR(INDEX(Anuncios!$B$6:$B$65,MATCH(C1207,Anuncios!$A$6:$A$65,0)),"(no está en Anuncios)"))</f>
        <v/>
      </c>
      <c r="E1207" s="39" t="n"/>
      <c r="F1207" s="40" t="n"/>
      <c r="G1207" s="40" t="n"/>
      <c r="H1207" s="40" t="n"/>
      <c r="I1207" s="39" t="n"/>
      <c r="J1207" s="13">
        <f>IF(N(F1207)&gt;0,G1207/F1207,"")</f>
        <v/>
      </c>
      <c r="K1207" s="10">
        <f>IF(N(G1207)&gt;0,E1207/G1207,"")</f>
        <v/>
      </c>
      <c r="L1207" s="10">
        <f>IF(N(H1207)&gt;0,E1207/H1207,"")</f>
        <v/>
      </c>
      <c r="M1207" s="11">
        <f>IF(N(E1207)&gt;0,I1207/E1207,"")</f>
        <v/>
      </c>
      <c r="N1207" s="10">
        <f>IF(AND(E1207="",I1207=""),"",N(I1207)*(1-COM-COM_SHOP)-N(E1207)*(1+IMP_META))</f>
        <v/>
      </c>
      <c r="O1207" s="37" t="n"/>
    </row>
    <row r="1208">
      <c r="A1208" s="36" t="n"/>
      <c r="B1208" s="37" t="n"/>
      <c r="C1208" s="37" t="n"/>
      <c r="D1208" s="38">
        <f>IF(C1208="","",IFERROR(INDEX(Anuncios!$B$6:$B$65,MATCH(C1208,Anuncios!$A$6:$A$65,0)),"(no está en Anuncios)"))</f>
        <v/>
      </c>
      <c r="E1208" s="39" t="n"/>
      <c r="F1208" s="40" t="n"/>
      <c r="G1208" s="40" t="n"/>
      <c r="H1208" s="40" t="n"/>
      <c r="I1208" s="39" t="n"/>
      <c r="J1208" s="13">
        <f>IF(N(F1208)&gt;0,G1208/F1208,"")</f>
        <v/>
      </c>
      <c r="K1208" s="10">
        <f>IF(N(G1208)&gt;0,E1208/G1208,"")</f>
        <v/>
      </c>
      <c r="L1208" s="10">
        <f>IF(N(H1208)&gt;0,E1208/H1208,"")</f>
        <v/>
      </c>
      <c r="M1208" s="11">
        <f>IF(N(E1208)&gt;0,I1208/E1208,"")</f>
        <v/>
      </c>
      <c r="N1208" s="10">
        <f>IF(AND(E1208="",I1208=""),"",N(I1208)*(1-COM-COM_SHOP)-N(E1208)*(1+IMP_META))</f>
        <v/>
      </c>
      <c r="O1208" s="37" t="n"/>
    </row>
    <row r="1209">
      <c r="A1209" s="36" t="n"/>
      <c r="B1209" s="37" t="n"/>
      <c r="C1209" s="37" t="n"/>
      <c r="D1209" s="38">
        <f>IF(C1209="","",IFERROR(INDEX(Anuncios!$B$6:$B$65,MATCH(C1209,Anuncios!$A$6:$A$65,0)),"(no está en Anuncios)"))</f>
        <v/>
      </c>
      <c r="E1209" s="39" t="n"/>
      <c r="F1209" s="40" t="n"/>
      <c r="G1209" s="40" t="n"/>
      <c r="H1209" s="40" t="n"/>
      <c r="I1209" s="39" t="n"/>
      <c r="J1209" s="13">
        <f>IF(N(F1209)&gt;0,G1209/F1209,"")</f>
        <v/>
      </c>
      <c r="K1209" s="10">
        <f>IF(N(G1209)&gt;0,E1209/G1209,"")</f>
        <v/>
      </c>
      <c r="L1209" s="10">
        <f>IF(N(H1209)&gt;0,E1209/H1209,"")</f>
        <v/>
      </c>
      <c r="M1209" s="11">
        <f>IF(N(E1209)&gt;0,I1209/E1209,"")</f>
        <v/>
      </c>
      <c r="N1209" s="10">
        <f>IF(AND(E1209="",I1209=""),"",N(I1209)*(1-COM-COM_SHOP)-N(E1209)*(1+IMP_META))</f>
        <v/>
      </c>
      <c r="O1209" s="37" t="n"/>
    </row>
    <row r="1210">
      <c r="A1210" s="36" t="n"/>
      <c r="B1210" s="37" t="n"/>
      <c r="C1210" s="37" t="n"/>
      <c r="D1210" s="38">
        <f>IF(C1210="","",IFERROR(INDEX(Anuncios!$B$6:$B$65,MATCH(C1210,Anuncios!$A$6:$A$65,0)),"(no está en Anuncios)"))</f>
        <v/>
      </c>
      <c r="E1210" s="39" t="n"/>
      <c r="F1210" s="40" t="n"/>
      <c r="G1210" s="40" t="n"/>
      <c r="H1210" s="40" t="n"/>
      <c r="I1210" s="39" t="n"/>
      <c r="J1210" s="13">
        <f>IF(N(F1210)&gt;0,G1210/F1210,"")</f>
        <v/>
      </c>
      <c r="K1210" s="10">
        <f>IF(N(G1210)&gt;0,E1210/G1210,"")</f>
        <v/>
      </c>
      <c r="L1210" s="10">
        <f>IF(N(H1210)&gt;0,E1210/H1210,"")</f>
        <v/>
      </c>
      <c r="M1210" s="11">
        <f>IF(N(E1210)&gt;0,I1210/E1210,"")</f>
        <v/>
      </c>
      <c r="N1210" s="10">
        <f>IF(AND(E1210="",I1210=""),"",N(I1210)*(1-COM-COM_SHOP)-N(E1210)*(1+IMP_META))</f>
        <v/>
      </c>
      <c r="O1210" s="37" t="n"/>
    </row>
    <row r="1211">
      <c r="A1211" s="36" t="n"/>
      <c r="B1211" s="37" t="n"/>
      <c r="C1211" s="37" t="n"/>
      <c r="D1211" s="38">
        <f>IF(C1211="","",IFERROR(INDEX(Anuncios!$B$6:$B$65,MATCH(C1211,Anuncios!$A$6:$A$65,0)),"(no está en Anuncios)"))</f>
        <v/>
      </c>
      <c r="E1211" s="39" t="n"/>
      <c r="F1211" s="40" t="n"/>
      <c r="G1211" s="40" t="n"/>
      <c r="H1211" s="40" t="n"/>
      <c r="I1211" s="39" t="n"/>
      <c r="J1211" s="13">
        <f>IF(N(F1211)&gt;0,G1211/F1211,"")</f>
        <v/>
      </c>
      <c r="K1211" s="10">
        <f>IF(N(G1211)&gt;0,E1211/G1211,"")</f>
        <v/>
      </c>
      <c r="L1211" s="10">
        <f>IF(N(H1211)&gt;0,E1211/H1211,"")</f>
        <v/>
      </c>
      <c r="M1211" s="11">
        <f>IF(N(E1211)&gt;0,I1211/E1211,"")</f>
        <v/>
      </c>
      <c r="N1211" s="10">
        <f>IF(AND(E1211="",I1211=""),"",N(I1211)*(1-COM-COM_SHOP)-N(E1211)*(1+IMP_META))</f>
        <v/>
      </c>
      <c r="O1211" s="37" t="n"/>
    </row>
    <row r="1212">
      <c r="A1212" s="36" t="n"/>
      <c r="B1212" s="37" t="n"/>
      <c r="C1212" s="37" t="n"/>
      <c r="D1212" s="38">
        <f>IF(C1212="","",IFERROR(INDEX(Anuncios!$B$6:$B$65,MATCH(C1212,Anuncios!$A$6:$A$65,0)),"(no está en Anuncios)"))</f>
        <v/>
      </c>
      <c r="E1212" s="39" t="n"/>
      <c r="F1212" s="40" t="n"/>
      <c r="G1212" s="40" t="n"/>
      <c r="H1212" s="40" t="n"/>
      <c r="I1212" s="39" t="n"/>
      <c r="J1212" s="13">
        <f>IF(N(F1212)&gt;0,G1212/F1212,"")</f>
        <v/>
      </c>
      <c r="K1212" s="10">
        <f>IF(N(G1212)&gt;0,E1212/G1212,"")</f>
        <v/>
      </c>
      <c r="L1212" s="10">
        <f>IF(N(H1212)&gt;0,E1212/H1212,"")</f>
        <v/>
      </c>
      <c r="M1212" s="11">
        <f>IF(N(E1212)&gt;0,I1212/E1212,"")</f>
        <v/>
      </c>
      <c r="N1212" s="10">
        <f>IF(AND(E1212="",I1212=""),"",N(I1212)*(1-COM-COM_SHOP)-N(E1212)*(1+IMP_META))</f>
        <v/>
      </c>
      <c r="O1212" s="37" t="n"/>
    </row>
    <row r="1213">
      <c r="A1213" s="36" t="n"/>
      <c r="B1213" s="37" t="n"/>
      <c r="C1213" s="37" t="n"/>
      <c r="D1213" s="38">
        <f>IF(C1213="","",IFERROR(INDEX(Anuncios!$B$6:$B$65,MATCH(C1213,Anuncios!$A$6:$A$65,0)),"(no está en Anuncios)"))</f>
        <v/>
      </c>
      <c r="E1213" s="39" t="n"/>
      <c r="F1213" s="40" t="n"/>
      <c r="G1213" s="40" t="n"/>
      <c r="H1213" s="40" t="n"/>
      <c r="I1213" s="39" t="n"/>
      <c r="J1213" s="13">
        <f>IF(N(F1213)&gt;0,G1213/F1213,"")</f>
        <v/>
      </c>
      <c r="K1213" s="10">
        <f>IF(N(G1213)&gt;0,E1213/G1213,"")</f>
        <v/>
      </c>
      <c r="L1213" s="10">
        <f>IF(N(H1213)&gt;0,E1213/H1213,"")</f>
        <v/>
      </c>
      <c r="M1213" s="11">
        <f>IF(N(E1213)&gt;0,I1213/E1213,"")</f>
        <v/>
      </c>
      <c r="N1213" s="10">
        <f>IF(AND(E1213="",I1213=""),"",N(I1213)*(1-COM-COM_SHOP)-N(E1213)*(1+IMP_META))</f>
        <v/>
      </c>
      <c r="O1213" s="37" t="n"/>
    </row>
    <row r="1214">
      <c r="A1214" s="36" t="n"/>
      <c r="B1214" s="37" t="n"/>
      <c r="C1214" s="37" t="n"/>
      <c r="D1214" s="38">
        <f>IF(C1214="","",IFERROR(INDEX(Anuncios!$B$6:$B$65,MATCH(C1214,Anuncios!$A$6:$A$65,0)),"(no está en Anuncios)"))</f>
        <v/>
      </c>
      <c r="E1214" s="39" t="n"/>
      <c r="F1214" s="40" t="n"/>
      <c r="G1214" s="40" t="n"/>
      <c r="H1214" s="40" t="n"/>
      <c r="I1214" s="39" t="n"/>
      <c r="J1214" s="13">
        <f>IF(N(F1214)&gt;0,G1214/F1214,"")</f>
        <v/>
      </c>
      <c r="K1214" s="10">
        <f>IF(N(G1214)&gt;0,E1214/G1214,"")</f>
        <v/>
      </c>
      <c r="L1214" s="10">
        <f>IF(N(H1214)&gt;0,E1214/H1214,"")</f>
        <v/>
      </c>
      <c r="M1214" s="11">
        <f>IF(N(E1214)&gt;0,I1214/E1214,"")</f>
        <v/>
      </c>
      <c r="N1214" s="10">
        <f>IF(AND(E1214="",I1214=""),"",N(I1214)*(1-COM-COM_SHOP)-N(E1214)*(1+IMP_META))</f>
        <v/>
      </c>
      <c r="O1214" s="37" t="n"/>
    </row>
    <row r="1215">
      <c r="A1215" s="36" t="n"/>
      <c r="B1215" s="37" t="n"/>
      <c r="C1215" s="37" t="n"/>
      <c r="D1215" s="38">
        <f>IF(C1215="","",IFERROR(INDEX(Anuncios!$B$6:$B$65,MATCH(C1215,Anuncios!$A$6:$A$65,0)),"(no está en Anuncios)"))</f>
        <v/>
      </c>
      <c r="E1215" s="39" t="n"/>
      <c r="F1215" s="40" t="n"/>
      <c r="G1215" s="40" t="n"/>
      <c r="H1215" s="40" t="n"/>
      <c r="I1215" s="39" t="n"/>
      <c r="J1215" s="13">
        <f>IF(N(F1215)&gt;0,G1215/F1215,"")</f>
        <v/>
      </c>
      <c r="K1215" s="10">
        <f>IF(N(G1215)&gt;0,E1215/G1215,"")</f>
        <v/>
      </c>
      <c r="L1215" s="10">
        <f>IF(N(H1215)&gt;0,E1215/H1215,"")</f>
        <v/>
      </c>
      <c r="M1215" s="11">
        <f>IF(N(E1215)&gt;0,I1215/E1215,"")</f>
        <v/>
      </c>
      <c r="N1215" s="10">
        <f>IF(AND(E1215="",I1215=""),"",N(I1215)*(1-COM-COM_SHOP)-N(E1215)*(1+IMP_META))</f>
        <v/>
      </c>
      <c r="O1215" s="37" t="n"/>
    </row>
    <row r="1216">
      <c r="A1216" s="36" t="n"/>
      <c r="B1216" s="37" t="n"/>
      <c r="C1216" s="37" t="n"/>
      <c r="D1216" s="38">
        <f>IF(C1216="","",IFERROR(INDEX(Anuncios!$B$6:$B$65,MATCH(C1216,Anuncios!$A$6:$A$65,0)),"(no está en Anuncios)"))</f>
        <v/>
      </c>
      <c r="E1216" s="39" t="n"/>
      <c r="F1216" s="40" t="n"/>
      <c r="G1216" s="40" t="n"/>
      <c r="H1216" s="40" t="n"/>
      <c r="I1216" s="39" t="n"/>
      <c r="J1216" s="13">
        <f>IF(N(F1216)&gt;0,G1216/F1216,"")</f>
        <v/>
      </c>
      <c r="K1216" s="10">
        <f>IF(N(G1216)&gt;0,E1216/G1216,"")</f>
        <v/>
      </c>
      <c r="L1216" s="10">
        <f>IF(N(H1216)&gt;0,E1216/H1216,"")</f>
        <v/>
      </c>
      <c r="M1216" s="11">
        <f>IF(N(E1216)&gt;0,I1216/E1216,"")</f>
        <v/>
      </c>
      <c r="N1216" s="10">
        <f>IF(AND(E1216="",I1216=""),"",N(I1216)*(1-COM-COM_SHOP)-N(E1216)*(1+IMP_META))</f>
        <v/>
      </c>
      <c r="O1216" s="37" t="n"/>
    </row>
    <row r="1217">
      <c r="A1217" s="36" t="n"/>
      <c r="B1217" s="37" t="n"/>
      <c r="C1217" s="37" t="n"/>
      <c r="D1217" s="38">
        <f>IF(C1217="","",IFERROR(INDEX(Anuncios!$B$6:$B$65,MATCH(C1217,Anuncios!$A$6:$A$65,0)),"(no está en Anuncios)"))</f>
        <v/>
      </c>
      <c r="E1217" s="39" t="n"/>
      <c r="F1217" s="40" t="n"/>
      <c r="G1217" s="40" t="n"/>
      <c r="H1217" s="40" t="n"/>
      <c r="I1217" s="39" t="n"/>
      <c r="J1217" s="13">
        <f>IF(N(F1217)&gt;0,G1217/F1217,"")</f>
        <v/>
      </c>
      <c r="K1217" s="10">
        <f>IF(N(G1217)&gt;0,E1217/G1217,"")</f>
        <v/>
      </c>
      <c r="L1217" s="10">
        <f>IF(N(H1217)&gt;0,E1217/H1217,"")</f>
        <v/>
      </c>
      <c r="M1217" s="11">
        <f>IF(N(E1217)&gt;0,I1217/E1217,"")</f>
        <v/>
      </c>
      <c r="N1217" s="10">
        <f>IF(AND(E1217="",I1217=""),"",N(I1217)*(1-COM-COM_SHOP)-N(E1217)*(1+IMP_META))</f>
        <v/>
      </c>
      <c r="O1217" s="37" t="n"/>
    </row>
    <row r="1218">
      <c r="A1218" s="36" t="n"/>
      <c r="B1218" s="37" t="n"/>
      <c r="C1218" s="37" t="n"/>
      <c r="D1218" s="38">
        <f>IF(C1218="","",IFERROR(INDEX(Anuncios!$B$6:$B$65,MATCH(C1218,Anuncios!$A$6:$A$65,0)),"(no está en Anuncios)"))</f>
        <v/>
      </c>
      <c r="E1218" s="39" t="n"/>
      <c r="F1218" s="40" t="n"/>
      <c r="G1218" s="40" t="n"/>
      <c r="H1218" s="40" t="n"/>
      <c r="I1218" s="39" t="n"/>
      <c r="J1218" s="13">
        <f>IF(N(F1218)&gt;0,G1218/F1218,"")</f>
        <v/>
      </c>
      <c r="K1218" s="10">
        <f>IF(N(G1218)&gt;0,E1218/G1218,"")</f>
        <v/>
      </c>
      <c r="L1218" s="10">
        <f>IF(N(H1218)&gt;0,E1218/H1218,"")</f>
        <v/>
      </c>
      <c r="M1218" s="11">
        <f>IF(N(E1218)&gt;0,I1218/E1218,"")</f>
        <v/>
      </c>
      <c r="N1218" s="10">
        <f>IF(AND(E1218="",I1218=""),"",N(I1218)*(1-COM-COM_SHOP)-N(E1218)*(1+IMP_META))</f>
        <v/>
      </c>
      <c r="O1218" s="37" t="n"/>
    </row>
    <row r="1219">
      <c r="A1219" s="36" t="n"/>
      <c r="B1219" s="37" t="n"/>
      <c r="C1219" s="37" t="n"/>
      <c r="D1219" s="38">
        <f>IF(C1219="","",IFERROR(INDEX(Anuncios!$B$6:$B$65,MATCH(C1219,Anuncios!$A$6:$A$65,0)),"(no está en Anuncios)"))</f>
        <v/>
      </c>
      <c r="E1219" s="39" t="n"/>
      <c r="F1219" s="40" t="n"/>
      <c r="G1219" s="40" t="n"/>
      <c r="H1219" s="40" t="n"/>
      <c r="I1219" s="39" t="n"/>
      <c r="J1219" s="13">
        <f>IF(N(F1219)&gt;0,G1219/F1219,"")</f>
        <v/>
      </c>
      <c r="K1219" s="10">
        <f>IF(N(G1219)&gt;0,E1219/G1219,"")</f>
        <v/>
      </c>
      <c r="L1219" s="10">
        <f>IF(N(H1219)&gt;0,E1219/H1219,"")</f>
        <v/>
      </c>
      <c r="M1219" s="11">
        <f>IF(N(E1219)&gt;0,I1219/E1219,"")</f>
        <v/>
      </c>
      <c r="N1219" s="10">
        <f>IF(AND(E1219="",I1219=""),"",N(I1219)*(1-COM-COM_SHOP)-N(E1219)*(1+IMP_META))</f>
        <v/>
      </c>
      <c r="O1219" s="37" t="n"/>
    </row>
    <row r="1220">
      <c r="A1220" s="36" t="n"/>
      <c r="B1220" s="37" t="n"/>
      <c r="C1220" s="37" t="n"/>
      <c r="D1220" s="38">
        <f>IF(C1220="","",IFERROR(INDEX(Anuncios!$B$6:$B$65,MATCH(C1220,Anuncios!$A$6:$A$65,0)),"(no está en Anuncios)"))</f>
        <v/>
      </c>
      <c r="E1220" s="39" t="n"/>
      <c r="F1220" s="40" t="n"/>
      <c r="G1220" s="40" t="n"/>
      <c r="H1220" s="40" t="n"/>
      <c r="I1220" s="39" t="n"/>
      <c r="J1220" s="13">
        <f>IF(N(F1220)&gt;0,G1220/F1220,"")</f>
        <v/>
      </c>
      <c r="K1220" s="10">
        <f>IF(N(G1220)&gt;0,E1220/G1220,"")</f>
        <v/>
      </c>
      <c r="L1220" s="10">
        <f>IF(N(H1220)&gt;0,E1220/H1220,"")</f>
        <v/>
      </c>
      <c r="M1220" s="11">
        <f>IF(N(E1220)&gt;0,I1220/E1220,"")</f>
        <v/>
      </c>
      <c r="N1220" s="10">
        <f>IF(AND(E1220="",I1220=""),"",N(I1220)*(1-COM-COM_SHOP)-N(E1220)*(1+IMP_META))</f>
        <v/>
      </c>
      <c r="O1220" s="37" t="n"/>
    </row>
    <row r="1221">
      <c r="A1221" s="36" t="n"/>
      <c r="B1221" s="37" t="n"/>
      <c r="C1221" s="37" t="n"/>
      <c r="D1221" s="38">
        <f>IF(C1221="","",IFERROR(INDEX(Anuncios!$B$6:$B$65,MATCH(C1221,Anuncios!$A$6:$A$65,0)),"(no está en Anuncios)"))</f>
        <v/>
      </c>
      <c r="E1221" s="39" t="n"/>
      <c r="F1221" s="40" t="n"/>
      <c r="G1221" s="40" t="n"/>
      <c r="H1221" s="40" t="n"/>
      <c r="I1221" s="39" t="n"/>
      <c r="J1221" s="13">
        <f>IF(N(F1221)&gt;0,G1221/F1221,"")</f>
        <v/>
      </c>
      <c r="K1221" s="10">
        <f>IF(N(G1221)&gt;0,E1221/G1221,"")</f>
        <v/>
      </c>
      <c r="L1221" s="10">
        <f>IF(N(H1221)&gt;0,E1221/H1221,"")</f>
        <v/>
      </c>
      <c r="M1221" s="11">
        <f>IF(N(E1221)&gt;0,I1221/E1221,"")</f>
        <v/>
      </c>
      <c r="N1221" s="10">
        <f>IF(AND(E1221="",I1221=""),"",N(I1221)*(1-COM-COM_SHOP)-N(E1221)*(1+IMP_META))</f>
        <v/>
      </c>
      <c r="O1221" s="37" t="n"/>
    </row>
    <row r="1222">
      <c r="A1222" s="36" t="n"/>
      <c r="B1222" s="37" t="n"/>
      <c r="C1222" s="37" t="n"/>
      <c r="D1222" s="38">
        <f>IF(C1222="","",IFERROR(INDEX(Anuncios!$B$6:$B$65,MATCH(C1222,Anuncios!$A$6:$A$65,0)),"(no está en Anuncios)"))</f>
        <v/>
      </c>
      <c r="E1222" s="39" t="n"/>
      <c r="F1222" s="40" t="n"/>
      <c r="G1222" s="40" t="n"/>
      <c r="H1222" s="40" t="n"/>
      <c r="I1222" s="39" t="n"/>
      <c r="J1222" s="13">
        <f>IF(N(F1222)&gt;0,G1222/F1222,"")</f>
        <v/>
      </c>
      <c r="K1222" s="10">
        <f>IF(N(G1222)&gt;0,E1222/G1222,"")</f>
        <v/>
      </c>
      <c r="L1222" s="10">
        <f>IF(N(H1222)&gt;0,E1222/H1222,"")</f>
        <v/>
      </c>
      <c r="M1222" s="11">
        <f>IF(N(E1222)&gt;0,I1222/E1222,"")</f>
        <v/>
      </c>
      <c r="N1222" s="10">
        <f>IF(AND(E1222="",I1222=""),"",N(I1222)*(1-COM-COM_SHOP)-N(E1222)*(1+IMP_META))</f>
        <v/>
      </c>
      <c r="O1222" s="37" t="n"/>
    </row>
    <row r="1223">
      <c r="A1223" s="36" t="n"/>
      <c r="B1223" s="37" t="n"/>
      <c r="C1223" s="37" t="n"/>
      <c r="D1223" s="38">
        <f>IF(C1223="","",IFERROR(INDEX(Anuncios!$B$6:$B$65,MATCH(C1223,Anuncios!$A$6:$A$65,0)),"(no está en Anuncios)"))</f>
        <v/>
      </c>
      <c r="E1223" s="39" t="n"/>
      <c r="F1223" s="40" t="n"/>
      <c r="G1223" s="40" t="n"/>
      <c r="H1223" s="40" t="n"/>
      <c r="I1223" s="39" t="n"/>
      <c r="J1223" s="13">
        <f>IF(N(F1223)&gt;0,G1223/F1223,"")</f>
        <v/>
      </c>
      <c r="K1223" s="10">
        <f>IF(N(G1223)&gt;0,E1223/G1223,"")</f>
        <v/>
      </c>
      <c r="L1223" s="10">
        <f>IF(N(H1223)&gt;0,E1223/H1223,"")</f>
        <v/>
      </c>
      <c r="M1223" s="11">
        <f>IF(N(E1223)&gt;0,I1223/E1223,"")</f>
        <v/>
      </c>
      <c r="N1223" s="10">
        <f>IF(AND(E1223="",I1223=""),"",N(I1223)*(1-COM-COM_SHOP)-N(E1223)*(1+IMP_META))</f>
        <v/>
      </c>
      <c r="O1223" s="37" t="n"/>
    </row>
    <row r="1224">
      <c r="A1224" s="36" t="n"/>
      <c r="B1224" s="37" t="n"/>
      <c r="C1224" s="37" t="n"/>
      <c r="D1224" s="38">
        <f>IF(C1224="","",IFERROR(INDEX(Anuncios!$B$6:$B$65,MATCH(C1224,Anuncios!$A$6:$A$65,0)),"(no está en Anuncios)"))</f>
        <v/>
      </c>
      <c r="E1224" s="39" t="n"/>
      <c r="F1224" s="40" t="n"/>
      <c r="G1224" s="40" t="n"/>
      <c r="H1224" s="40" t="n"/>
      <c r="I1224" s="39" t="n"/>
      <c r="J1224" s="13">
        <f>IF(N(F1224)&gt;0,G1224/F1224,"")</f>
        <v/>
      </c>
      <c r="K1224" s="10">
        <f>IF(N(G1224)&gt;0,E1224/G1224,"")</f>
        <v/>
      </c>
      <c r="L1224" s="10">
        <f>IF(N(H1224)&gt;0,E1224/H1224,"")</f>
        <v/>
      </c>
      <c r="M1224" s="11">
        <f>IF(N(E1224)&gt;0,I1224/E1224,"")</f>
        <v/>
      </c>
      <c r="N1224" s="10">
        <f>IF(AND(E1224="",I1224=""),"",N(I1224)*(1-COM-COM_SHOP)-N(E1224)*(1+IMP_META))</f>
        <v/>
      </c>
      <c r="O1224" s="37" t="n"/>
    </row>
    <row r="1225">
      <c r="A1225" s="36" t="n"/>
      <c r="B1225" s="37" t="n"/>
      <c r="C1225" s="37" t="n"/>
      <c r="D1225" s="38">
        <f>IF(C1225="","",IFERROR(INDEX(Anuncios!$B$6:$B$65,MATCH(C1225,Anuncios!$A$6:$A$65,0)),"(no está en Anuncios)"))</f>
        <v/>
      </c>
      <c r="E1225" s="39" t="n"/>
      <c r="F1225" s="40" t="n"/>
      <c r="G1225" s="40" t="n"/>
      <c r="H1225" s="40" t="n"/>
      <c r="I1225" s="39" t="n"/>
      <c r="J1225" s="13">
        <f>IF(N(F1225)&gt;0,G1225/F1225,"")</f>
        <v/>
      </c>
      <c r="K1225" s="10">
        <f>IF(N(G1225)&gt;0,E1225/G1225,"")</f>
        <v/>
      </c>
      <c r="L1225" s="10">
        <f>IF(N(H1225)&gt;0,E1225/H1225,"")</f>
        <v/>
      </c>
      <c r="M1225" s="11">
        <f>IF(N(E1225)&gt;0,I1225/E1225,"")</f>
        <v/>
      </c>
      <c r="N1225" s="10">
        <f>IF(AND(E1225="",I1225=""),"",N(I1225)*(1-COM-COM_SHOP)-N(E1225)*(1+IMP_META))</f>
        <v/>
      </c>
      <c r="O1225" s="37" t="n"/>
    </row>
    <row r="1226">
      <c r="A1226" s="36" t="n"/>
      <c r="B1226" s="37" t="n"/>
      <c r="C1226" s="37" t="n"/>
      <c r="D1226" s="38">
        <f>IF(C1226="","",IFERROR(INDEX(Anuncios!$B$6:$B$65,MATCH(C1226,Anuncios!$A$6:$A$65,0)),"(no está en Anuncios)"))</f>
        <v/>
      </c>
      <c r="E1226" s="39" t="n"/>
      <c r="F1226" s="40" t="n"/>
      <c r="G1226" s="40" t="n"/>
      <c r="H1226" s="40" t="n"/>
      <c r="I1226" s="39" t="n"/>
      <c r="J1226" s="13">
        <f>IF(N(F1226)&gt;0,G1226/F1226,"")</f>
        <v/>
      </c>
      <c r="K1226" s="10">
        <f>IF(N(G1226)&gt;0,E1226/G1226,"")</f>
        <v/>
      </c>
      <c r="L1226" s="10">
        <f>IF(N(H1226)&gt;0,E1226/H1226,"")</f>
        <v/>
      </c>
      <c r="M1226" s="11">
        <f>IF(N(E1226)&gt;0,I1226/E1226,"")</f>
        <v/>
      </c>
      <c r="N1226" s="10">
        <f>IF(AND(E1226="",I1226=""),"",N(I1226)*(1-COM-COM_SHOP)-N(E1226)*(1+IMP_META))</f>
        <v/>
      </c>
      <c r="O1226" s="37" t="n"/>
    </row>
    <row r="1227">
      <c r="A1227" s="36" t="n"/>
      <c r="B1227" s="37" t="n"/>
      <c r="C1227" s="37" t="n"/>
      <c r="D1227" s="38">
        <f>IF(C1227="","",IFERROR(INDEX(Anuncios!$B$6:$B$65,MATCH(C1227,Anuncios!$A$6:$A$65,0)),"(no está en Anuncios)"))</f>
        <v/>
      </c>
      <c r="E1227" s="39" t="n"/>
      <c r="F1227" s="40" t="n"/>
      <c r="G1227" s="40" t="n"/>
      <c r="H1227" s="40" t="n"/>
      <c r="I1227" s="39" t="n"/>
      <c r="J1227" s="13">
        <f>IF(N(F1227)&gt;0,G1227/F1227,"")</f>
        <v/>
      </c>
      <c r="K1227" s="10">
        <f>IF(N(G1227)&gt;0,E1227/G1227,"")</f>
        <v/>
      </c>
      <c r="L1227" s="10">
        <f>IF(N(H1227)&gt;0,E1227/H1227,"")</f>
        <v/>
      </c>
      <c r="M1227" s="11">
        <f>IF(N(E1227)&gt;0,I1227/E1227,"")</f>
        <v/>
      </c>
      <c r="N1227" s="10">
        <f>IF(AND(E1227="",I1227=""),"",N(I1227)*(1-COM-COM_SHOP)-N(E1227)*(1+IMP_META))</f>
        <v/>
      </c>
      <c r="O1227" s="37" t="n"/>
    </row>
    <row r="1228">
      <c r="A1228" s="36" t="n"/>
      <c r="B1228" s="37" t="n"/>
      <c r="C1228" s="37" t="n"/>
      <c r="D1228" s="38">
        <f>IF(C1228="","",IFERROR(INDEX(Anuncios!$B$6:$B$65,MATCH(C1228,Anuncios!$A$6:$A$65,0)),"(no está en Anuncios)"))</f>
        <v/>
      </c>
      <c r="E1228" s="39" t="n"/>
      <c r="F1228" s="40" t="n"/>
      <c r="G1228" s="40" t="n"/>
      <c r="H1228" s="40" t="n"/>
      <c r="I1228" s="39" t="n"/>
      <c r="J1228" s="13">
        <f>IF(N(F1228)&gt;0,G1228/F1228,"")</f>
        <v/>
      </c>
      <c r="K1228" s="10">
        <f>IF(N(G1228)&gt;0,E1228/G1228,"")</f>
        <v/>
      </c>
      <c r="L1228" s="10">
        <f>IF(N(H1228)&gt;0,E1228/H1228,"")</f>
        <v/>
      </c>
      <c r="M1228" s="11">
        <f>IF(N(E1228)&gt;0,I1228/E1228,"")</f>
        <v/>
      </c>
      <c r="N1228" s="10">
        <f>IF(AND(E1228="",I1228=""),"",N(I1228)*(1-COM-COM_SHOP)-N(E1228)*(1+IMP_META))</f>
        <v/>
      </c>
      <c r="O1228" s="37" t="n"/>
    </row>
    <row r="1229">
      <c r="A1229" s="36" t="n"/>
      <c r="B1229" s="37" t="n"/>
      <c r="C1229" s="37" t="n"/>
      <c r="D1229" s="38">
        <f>IF(C1229="","",IFERROR(INDEX(Anuncios!$B$6:$B$65,MATCH(C1229,Anuncios!$A$6:$A$65,0)),"(no está en Anuncios)"))</f>
        <v/>
      </c>
      <c r="E1229" s="39" t="n"/>
      <c r="F1229" s="40" t="n"/>
      <c r="G1229" s="40" t="n"/>
      <c r="H1229" s="40" t="n"/>
      <c r="I1229" s="39" t="n"/>
      <c r="J1229" s="13">
        <f>IF(N(F1229)&gt;0,G1229/F1229,"")</f>
        <v/>
      </c>
      <c r="K1229" s="10">
        <f>IF(N(G1229)&gt;0,E1229/G1229,"")</f>
        <v/>
      </c>
      <c r="L1229" s="10">
        <f>IF(N(H1229)&gt;0,E1229/H1229,"")</f>
        <v/>
      </c>
      <c r="M1229" s="11">
        <f>IF(N(E1229)&gt;0,I1229/E1229,"")</f>
        <v/>
      </c>
      <c r="N1229" s="10">
        <f>IF(AND(E1229="",I1229=""),"",N(I1229)*(1-COM-COM_SHOP)-N(E1229)*(1+IMP_META))</f>
        <v/>
      </c>
      <c r="O1229" s="37" t="n"/>
    </row>
    <row r="1230">
      <c r="A1230" s="36" t="n"/>
      <c r="B1230" s="37" t="n"/>
      <c r="C1230" s="37" t="n"/>
      <c r="D1230" s="38">
        <f>IF(C1230="","",IFERROR(INDEX(Anuncios!$B$6:$B$65,MATCH(C1230,Anuncios!$A$6:$A$65,0)),"(no está en Anuncios)"))</f>
        <v/>
      </c>
      <c r="E1230" s="39" t="n"/>
      <c r="F1230" s="40" t="n"/>
      <c r="G1230" s="40" t="n"/>
      <c r="H1230" s="40" t="n"/>
      <c r="I1230" s="39" t="n"/>
      <c r="J1230" s="13">
        <f>IF(N(F1230)&gt;0,G1230/F1230,"")</f>
        <v/>
      </c>
      <c r="K1230" s="10">
        <f>IF(N(G1230)&gt;0,E1230/G1230,"")</f>
        <v/>
      </c>
      <c r="L1230" s="10">
        <f>IF(N(H1230)&gt;0,E1230/H1230,"")</f>
        <v/>
      </c>
      <c r="M1230" s="11">
        <f>IF(N(E1230)&gt;0,I1230/E1230,"")</f>
        <v/>
      </c>
      <c r="N1230" s="10">
        <f>IF(AND(E1230="",I1230=""),"",N(I1230)*(1-COM-COM_SHOP)-N(E1230)*(1+IMP_META))</f>
        <v/>
      </c>
      <c r="O1230" s="37" t="n"/>
    </row>
    <row r="1231">
      <c r="A1231" s="36" t="n"/>
      <c r="B1231" s="37" t="n"/>
      <c r="C1231" s="37" t="n"/>
      <c r="D1231" s="38">
        <f>IF(C1231="","",IFERROR(INDEX(Anuncios!$B$6:$B$65,MATCH(C1231,Anuncios!$A$6:$A$65,0)),"(no está en Anuncios)"))</f>
        <v/>
      </c>
      <c r="E1231" s="39" t="n"/>
      <c r="F1231" s="40" t="n"/>
      <c r="G1231" s="40" t="n"/>
      <c r="H1231" s="40" t="n"/>
      <c r="I1231" s="39" t="n"/>
      <c r="J1231" s="13">
        <f>IF(N(F1231)&gt;0,G1231/F1231,"")</f>
        <v/>
      </c>
      <c r="K1231" s="10">
        <f>IF(N(G1231)&gt;0,E1231/G1231,"")</f>
        <v/>
      </c>
      <c r="L1231" s="10">
        <f>IF(N(H1231)&gt;0,E1231/H1231,"")</f>
        <v/>
      </c>
      <c r="M1231" s="11">
        <f>IF(N(E1231)&gt;0,I1231/E1231,"")</f>
        <v/>
      </c>
      <c r="N1231" s="10">
        <f>IF(AND(E1231="",I1231=""),"",N(I1231)*(1-COM-COM_SHOP)-N(E1231)*(1+IMP_META))</f>
        <v/>
      </c>
      <c r="O1231" s="37" t="n"/>
    </row>
    <row r="1232">
      <c r="A1232" s="36" t="n"/>
      <c r="B1232" s="37" t="n"/>
      <c r="C1232" s="37" t="n"/>
      <c r="D1232" s="38">
        <f>IF(C1232="","",IFERROR(INDEX(Anuncios!$B$6:$B$65,MATCH(C1232,Anuncios!$A$6:$A$65,0)),"(no está en Anuncios)"))</f>
        <v/>
      </c>
      <c r="E1232" s="39" t="n"/>
      <c r="F1232" s="40" t="n"/>
      <c r="G1232" s="40" t="n"/>
      <c r="H1232" s="40" t="n"/>
      <c r="I1232" s="39" t="n"/>
      <c r="J1232" s="13">
        <f>IF(N(F1232)&gt;0,G1232/F1232,"")</f>
        <v/>
      </c>
      <c r="K1232" s="10">
        <f>IF(N(G1232)&gt;0,E1232/G1232,"")</f>
        <v/>
      </c>
      <c r="L1232" s="10">
        <f>IF(N(H1232)&gt;0,E1232/H1232,"")</f>
        <v/>
      </c>
      <c r="M1232" s="11">
        <f>IF(N(E1232)&gt;0,I1232/E1232,"")</f>
        <v/>
      </c>
      <c r="N1232" s="10">
        <f>IF(AND(E1232="",I1232=""),"",N(I1232)*(1-COM-COM_SHOP)-N(E1232)*(1+IMP_META))</f>
        <v/>
      </c>
      <c r="O1232" s="37" t="n"/>
    </row>
    <row r="1233">
      <c r="A1233" s="36" t="n"/>
      <c r="B1233" s="37" t="n"/>
      <c r="C1233" s="37" t="n"/>
      <c r="D1233" s="38">
        <f>IF(C1233="","",IFERROR(INDEX(Anuncios!$B$6:$B$65,MATCH(C1233,Anuncios!$A$6:$A$65,0)),"(no está en Anuncios)"))</f>
        <v/>
      </c>
      <c r="E1233" s="39" t="n"/>
      <c r="F1233" s="40" t="n"/>
      <c r="G1233" s="40" t="n"/>
      <c r="H1233" s="40" t="n"/>
      <c r="I1233" s="39" t="n"/>
      <c r="J1233" s="13">
        <f>IF(N(F1233)&gt;0,G1233/F1233,"")</f>
        <v/>
      </c>
      <c r="K1233" s="10">
        <f>IF(N(G1233)&gt;0,E1233/G1233,"")</f>
        <v/>
      </c>
      <c r="L1233" s="10">
        <f>IF(N(H1233)&gt;0,E1233/H1233,"")</f>
        <v/>
      </c>
      <c r="M1233" s="11">
        <f>IF(N(E1233)&gt;0,I1233/E1233,"")</f>
        <v/>
      </c>
      <c r="N1233" s="10">
        <f>IF(AND(E1233="",I1233=""),"",N(I1233)*(1-COM-COM_SHOP)-N(E1233)*(1+IMP_META))</f>
        <v/>
      </c>
      <c r="O1233" s="37" t="n"/>
    </row>
    <row r="1234">
      <c r="A1234" s="36" t="n"/>
      <c r="B1234" s="37" t="n"/>
      <c r="C1234" s="37" t="n"/>
      <c r="D1234" s="38">
        <f>IF(C1234="","",IFERROR(INDEX(Anuncios!$B$6:$B$65,MATCH(C1234,Anuncios!$A$6:$A$65,0)),"(no está en Anuncios)"))</f>
        <v/>
      </c>
      <c r="E1234" s="39" t="n"/>
      <c r="F1234" s="40" t="n"/>
      <c r="G1234" s="40" t="n"/>
      <c r="H1234" s="40" t="n"/>
      <c r="I1234" s="39" t="n"/>
      <c r="J1234" s="13">
        <f>IF(N(F1234)&gt;0,G1234/F1234,"")</f>
        <v/>
      </c>
      <c r="K1234" s="10">
        <f>IF(N(G1234)&gt;0,E1234/G1234,"")</f>
        <v/>
      </c>
      <c r="L1234" s="10">
        <f>IF(N(H1234)&gt;0,E1234/H1234,"")</f>
        <v/>
      </c>
      <c r="M1234" s="11">
        <f>IF(N(E1234)&gt;0,I1234/E1234,"")</f>
        <v/>
      </c>
      <c r="N1234" s="10">
        <f>IF(AND(E1234="",I1234=""),"",N(I1234)*(1-COM-COM_SHOP)-N(E1234)*(1+IMP_META))</f>
        <v/>
      </c>
      <c r="O1234" s="37" t="n"/>
    </row>
    <row r="1235">
      <c r="A1235" s="36" t="n"/>
      <c r="B1235" s="37" t="n"/>
      <c r="C1235" s="37" t="n"/>
      <c r="D1235" s="38">
        <f>IF(C1235="","",IFERROR(INDEX(Anuncios!$B$6:$B$65,MATCH(C1235,Anuncios!$A$6:$A$65,0)),"(no está en Anuncios)"))</f>
        <v/>
      </c>
      <c r="E1235" s="39" t="n"/>
      <c r="F1235" s="40" t="n"/>
      <c r="G1235" s="40" t="n"/>
      <c r="H1235" s="40" t="n"/>
      <c r="I1235" s="39" t="n"/>
      <c r="J1235" s="13">
        <f>IF(N(F1235)&gt;0,G1235/F1235,"")</f>
        <v/>
      </c>
      <c r="K1235" s="10">
        <f>IF(N(G1235)&gt;0,E1235/G1235,"")</f>
        <v/>
      </c>
      <c r="L1235" s="10">
        <f>IF(N(H1235)&gt;0,E1235/H1235,"")</f>
        <v/>
      </c>
      <c r="M1235" s="11">
        <f>IF(N(E1235)&gt;0,I1235/E1235,"")</f>
        <v/>
      </c>
      <c r="N1235" s="10">
        <f>IF(AND(E1235="",I1235=""),"",N(I1235)*(1-COM-COM_SHOP)-N(E1235)*(1+IMP_META))</f>
        <v/>
      </c>
      <c r="O1235" s="37" t="n"/>
    </row>
    <row r="1236">
      <c r="A1236" s="36" t="n"/>
      <c r="B1236" s="37" t="n"/>
      <c r="C1236" s="37" t="n"/>
      <c r="D1236" s="38">
        <f>IF(C1236="","",IFERROR(INDEX(Anuncios!$B$6:$B$65,MATCH(C1236,Anuncios!$A$6:$A$65,0)),"(no está en Anuncios)"))</f>
        <v/>
      </c>
      <c r="E1236" s="39" t="n"/>
      <c r="F1236" s="40" t="n"/>
      <c r="G1236" s="40" t="n"/>
      <c r="H1236" s="40" t="n"/>
      <c r="I1236" s="39" t="n"/>
      <c r="J1236" s="13">
        <f>IF(N(F1236)&gt;0,G1236/F1236,"")</f>
        <v/>
      </c>
      <c r="K1236" s="10">
        <f>IF(N(G1236)&gt;0,E1236/G1236,"")</f>
        <v/>
      </c>
      <c r="L1236" s="10">
        <f>IF(N(H1236)&gt;0,E1236/H1236,"")</f>
        <v/>
      </c>
      <c r="M1236" s="11">
        <f>IF(N(E1236)&gt;0,I1236/E1236,"")</f>
        <v/>
      </c>
      <c r="N1236" s="10">
        <f>IF(AND(E1236="",I1236=""),"",N(I1236)*(1-COM-COM_SHOP)-N(E1236)*(1+IMP_META))</f>
        <v/>
      </c>
      <c r="O1236" s="37" t="n"/>
    </row>
    <row r="1237">
      <c r="A1237" s="36" t="n"/>
      <c r="B1237" s="37" t="n"/>
      <c r="C1237" s="37" t="n"/>
      <c r="D1237" s="38">
        <f>IF(C1237="","",IFERROR(INDEX(Anuncios!$B$6:$B$65,MATCH(C1237,Anuncios!$A$6:$A$65,0)),"(no está en Anuncios)"))</f>
        <v/>
      </c>
      <c r="E1237" s="39" t="n"/>
      <c r="F1237" s="40" t="n"/>
      <c r="G1237" s="40" t="n"/>
      <c r="H1237" s="40" t="n"/>
      <c r="I1237" s="39" t="n"/>
      <c r="J1237" s="13">
        <f>IF(N(F1237)&gt;0,G1237/F1237,"")</f>
        <v/>
      </c>
      <c r="K1237" s="10">
        <f>IF(N(G1237)&gt;0,E1237/G1237,"")</f>
        <v/>
      </c>
      <c r="L1237" s="10">
        <f>IF(N(H1237)&gt;0,E1237/H1237,"")</f>
        <v/>
      </c>
      <c r="M1237" s="11">
        <f>IF(N(E1237)&gt;0,I1237/E1237,"")</f>
        <v/>
      </c>
      <c r="N1237" s="10">
        <f>IF(AND(E1237="",I1237=""),"",N(I1237)*(1-COM-COM_SHOP)-N(E1237)*(1+IMP_META))</f>
        <v/>
      </c>
      <c r="O1237" s="37" t="n"/>
    </row>
    <row r="1238">
      <c r="A1238" s="36" t="n"/>
      <c r="B1238" s="37" t="n"/>
      <c r="C1238" s="37" t="n"/>
      <c r="D1238" s="38">
        <f>IF(C1238="","",IFERROR(INDEX(Anuncios!$B$6:$B$65,MATCH(C1238,Anuncios!$A$6:$A$65,0)),"(no está en Anuncios)"))</f>
        <v/>
      </c>
      <c r="E1238" s="39" t="n"/>
      <c r="F1238" s="40" t="n"/>
      <c r="G1238" s="40" t="n"/>
      <c r="H1238" s="40" t="n"/>
      <c r="I1238" s="39" t="n"/>
      <c r="J1238" s="13">
        <f>IF(N(F1238)&gt;0,G1238/F1238,"")</f>
        <v/>
      </c>
      <c r="K1238" s="10">
        <f>IF(N(G1238)&gt;0,E1238/G1238,"")</f>
        <v/>
      </c>
      <c r="L1238" s="10">
        <f>IF(N(H1238)&gt;0,E1238/H1238,"")</f>
        <v/>
      </c>
      <c r="M1238" s="11">
        <f>IF(N(E1238)&gt;0,I1238/E1238,"")</f>
        <v/>
      </c>
      <c r="N1238" s="10">
        <f>IF(AND(E1238="",I1238=""),"",N(I1238)*(1-COM-COM_SHOP)-N(E1238)*(1+IMP_META))</f>
        <v/>
      </c>
      <c r="O1238" s="37" t="n"/>
    </row>
    <row r="1239">
      <c r="A1239" s="36" t="n"/>
      <c r="B1239" s="37" t="n"/>
      <c r="C1239" s="37" t="n"/>
      <c r="D1239" s="38">
        <f>IF(C1239="","",IFERROR(INDEX(Anuncios!$B$6:$B$65,MATCH(C1239,Anuncios!$A$6:$A$65,0)),"(no está en Anuncios)"))</f>
        <v/>
      </c>
      <c r="E1239" s="39" t="n"/>
      <c r="F1239" s="40" t="n"/>
      <c r="G1239" s="40" t="n"/>
      <c r="H1239" s="40" t="n"/>
      <c r="I1239" s="39" t="n"/>
      <c r="J1239" s="13">
        <f>IF(N(F1239)&gt;0,G1239/F1239,"")</f>
        <v/>
      </c>
      <c r="K1239" s="10">
        <f>IF(N(G1239)&gt;0,E1239/G1239,"")</f>
        <v/>
      </c>
      <c r="L1239" s="10">
        <f>IF(N(H1239)&gt;0,E1239/H1239,"")</f>
        <v/>
      </c>
      <c r="M1239" s="11">
        <f>IF(N(E1239)&gt;0,I1239/E1239,"")</f>
        <v/>
      </c>
      <c r="N1239" s="10">
        <f>IF(AND(E1239="",I1239=""),"",N(I1239)*(1-COM-COM_SHOP)-N(E1239)*(1+IMP_META))</f>
        <v/>
      </c>
      <c r="O1239" s="37" t="n"/>
    </row>
    <row r="1240">
      <c r="A1240" s="36" t="n"/>
      <c r="B1240" s="37" t="n"/>
      <c r="C1240" s="37" t="n"/>
      <c r="D1240" s="38">
        <f>IF(C1240="","",IFERROR(INDEX(Anuncios!$B$6:$B$65,MATCH(C1240,Anuncios!$A$6:$A$65,0)),"(no está en Anuncios)"))</f>
        <v/>
      </c>
      <c r="E1240" s="39" t="n"/>
      <c r="F1240" s="40" t="n"/>
      <c r="G1240" s="40" t="n"/>
      <c r="H1240" s="40" t="n"/>
      <c r="I1240" s="39" t="n"/>
      <c r="J1240" s="13">
        <f>IF(N(F1240)&gt;0,G1240/F1240,"")</f>
        <v/>
      </c>
      <c r="K1240" s="10">
        <f>IF(N(G1240)&gt;0,E1240/G1240,"")</f>
        <v/>
      </c>
      <c r="L1240" s="10">
        <f>IF(N(H1240)&gt;0,E1240/H1240,"")</f>
        <v/>
      </c>
      <c r="M1240" s="11">
        <f>IF(N(E1240)&gt;0,I1240/E1240,"")</f>
        <v/>
      </c>
      <c r="N1240" s="10">
        <f>IF(AND(E1240="",I1240=""),"",N(I1240)*(1-COM-COM_SHOP)-N(E1240)*(1+IMP_META))</f>
        <v/>
      </c>
      <c r="O1240" s="37" t="n"/>
    </row>
    <row r="1241">
      <c r="A1241" s="36" t="n"/>
      <c r="B1241" s="37" t="n"/>
      <c r="C1241" s="37" t="n"/>
      <c r="D1241" s="38">
        <f>IF(C1241="","",IFERROR(INDEX(Anuncios!$B$6:$B$65,MATCH(C1241,Anuncios!$A$6:$A$65,0)),"(no está en Anuncios)"))</f>
        <v/>
      </c>
      <c r="E1241" s="39" t="n"/>
      <c r="F1241" s="40" t="n"/>
      <c r="G1241" s="40" t="n"/>
      <c r="H1241" s="40" t="n"/>
      <c r="I1241" s="39" t="n"/>
      <c r="J1241" s="13">
        <f>IF(N(F1241)&gt;0,G1241/F1241,"")</f>
        <v/>
      </c>
      <c r="K1241" s="10">
        <f>IF(N(G1241)&gt;0,E1241/G1241,"")</f>
        <v/>
      </c>
      <c r="L1241" s="10">
        <f>IF(N(H1241)&gt;0,E1241/H1241,"")</f>
        <v/>
      </c>
      <c r="M1241" s="11">
        <f>IF(N(E1241)&gt;0,I1241/E1241,"")</f>
        <v/>
      </c>
      <c r="N1241" s="10">
        <f>IF(AND(E1241="",I1241=""),"",N(I1241)*(1-COM-COM_SHOP)-N(E1241)*(1+IMP_META))</f>
        <v/>
      </c>
      <c r="O1241" s="37" t="n"/>
    </row>
    <row r="1242">
      <c r="A1242" s="36" t="n"/>
      <c r="B1242" s="37" t="n"/>
      <c r="C1242" s="37" t="n"/>
      <c r="D1242" s="38">
        <f>IF(C1242="","",IFERROR(INDEX(Anuncios!$B$6:$B$65,MATCH(C1242,Anuncios!$A$6:$A$65,0)),"(no está en Anuncios)"))</f>
        <v/>
      </c>
      <c r="E1242" s="39" t="n"/>
      <c r="F1242" s="40" t="n"/>
      <c r="G1242" s="40" t="n"/>
      <c r="H1242" s="40" t="n"/>
      <c r="I1242" s="39" t="n"/>
      <c r="J1242" s="13">
        <f>IF(N(F1242)&gt;0,G1242/F1242,"")</f>
        <v/>
      </c>
      <c r="K1242" s="10">
        <f>IF(N(G1242)&gt;0,E1242/G1242,"")</f>
        <v/>
      </c>
      <c r="L1242" s="10">
        <f>IF(N(H1242)&gt;0,E1242/H1242,"")</f>
        <v/>
      </c>
      <c r="M1242" s="11">
        <f>IF(N(E1242)&gt;0,I1242/E1242,"")</f>
        <v/>
      </c>
      <c r="N1242" s="10">
        <f>IF(AND(E1242="",I1242=""),"",N(I1242)*(1-COM-COM_SHOP)-N(E1242)*(1+IMP_META))</f>
        <v/>
      </c>
      <c r="O1242" s="37" t="n"/>
    </row>
    <row r="1243">
      <c r="A1243" s="36" t="n"/>
      <c r="B1243" s="37" t="n"/>
      <c r="C1243" s="37" t="n"/>
      <c r="D1243" s="38">
        <f>IF(C1243="","",IFERROR(INDEX(Anuncios!$B$6:$B$65,MATCH(C1243,Anuncios!$A$6:$A$65,0)),"(no está en Anuncios)"))</f>
        <v/>
      </c>
      <c r="E1243" s="39" t="n"/>
      <c r="F1243" s="40" t="n"/>
      <c r="G1243" s="40" t="n"/>
      <c r="H1243" s="40" t="n"/>
      <c r="I1243" s="39" t="n"/>
      <c r="J1243" s="13">
        <f>IF(N(F1243)&gt;0,G1243/F1243,"")</f>
        <v/>
      </c>
      <c r="K1243" s="10">
        <f>IF(N(G1243)&gt;0,E1243/G1243,"")</f>
        <v/>
      </c>
      <c r="L1243" s="10">
        <f>IF(N(H1243)&gt;0,E1243/H1243,"")</f>
        <v/>
      </c>
      <c r="M1243" s="11">
        <f>IF(N(E1243)&gt;0,I1243/E1243,"")</f>
        <v/>
      </c>
      <c r="N1243" s="10">
        <f>IF(AND(E1243="",I1243=""),"",N(I1243)*(1-COM-COM_SHOP)-N(E1243)*(1+IMP_META))</f>
        <v/>
      </c>
      <c r="O1243" s="37" t="n"/>
    </row>
    <row r="1244">
      <c r="A1244" s="36" t="n"/>
      <c r="B1244" s="37" t="n"/>
      <c r="C1244" s="37" t="n"/>
      <c r="D1244" s="38">
        <f>IF(C1244="","",IFERROR(INDEX(Anuncios!$B$6:$B$65,MATCH(C1244,Anuncios!$A$6:$A$65,0)),"(no está en Anuncios)"))</f>
        <v/>
      </c>
      <c r="E1244" s="39" t="n"/>
      <c r="F1244" s="40" t="n"/>
      <c r="G1244" s="40" t="n"/>
      <c r="H1244" s="40" t="n"/>
      <c r="I1244" s="39" t="n"/>
      <c r="J1244" s="13">
        <f>IF(N(F1244)&gt;0,G1244/F1244,"")</f>
        <v/>
      </c>
      <c r="K1244" s="10">
        <f>IF(N(G1244)&gt;0,E1244/G1244,"")</f>
        <v/>
      </c>
      <c r="L1244" s="10">
        <f>IF(N(H1244)&gt;0,E1244/H1244,"")</f>
        <v/>
      </c>
      <c r="M1244" s="11">
        <f>IF(N(E1244)&gt;0,I1244/E1244,"")</f>
        <v/>
      </c>
      <c r="N1244" s="10">
        <f>IF(AND(E1244="",I1244=""),"",N(I1244)*(1-COM-COM_SHOP)-N(E1244)*(1+IMP_META))</f>
        <v/>
      </c>
      <c r="O1244" s="37" t="n"/>
    </row>
    <row r="1245">
      <c r="A1245" s="36" t="n"/>
      <c r="B1245" s="37" t="n"/>
      <c r="C1245" s="37" t="n"/>
      <c r="D1245" s="38">
        <f>IF(C1245="","",IFERROR(INDEX(Anuncios!$B$6:$B$65,MATCH(C1245,Anuncios!$A$6:$A$65,0)),"(no está en Anuncios)"))</f>
        <v/>
      </c>
      <c r="E1245" s="39" t="n"/>
      <c r="F1245" s="40" t="n"/>
      <c r="G1245" s="40" t="n"/>
      <c r="H1245" s="40" t="n"/>
      <c r="I1245" s="39" t="n"/>
      <c r="J1245" s="13">
        <f>IF(N(F1245)&gt;0,G1245/F1245,"")</f>
        <v/>
      </c>
      <c r="K1245" s="10">
        <f>IF(N(G1245)&gt;0,E1245/G1245,"")</f>
        <v/>
      </c>
      <c r="L1245" s="10">
        <f>IF(N(H1245)&gt;0,E1245/H1245,"")</f>
        <v/>
      </c>
      <c r="M1245" s="11">
        <f>IF(N(E1245)&gt;0,I1245/E1245,"")</f>
        <v/>
      </c>
      <c r="N1245" s="10">
        <f>IF(AND(E1245="",I1245=""),"",N(I1245)*(1-COM-COM_SHOP)-N(E1245)*(1+IMP_META))</f>
        <v/>
      </c>
      <c r="O1245" s="37" t="n"/>
    </row>
    <row r="1246">
      <c r="A1246" s="36" t="n"/>
      <c r="B1246" s="37" t="n"/>
      <c r="C1246" s="37" t="n"/>
      <c r="D1246" s="38">
        <f>IF(C1246="","",IFERROR(INDEX(Anuncios!$B$6:$B$65,MATCH(C1246,Anuncios!$A$6:$A$65,0)),"(no está en Anuncios)"))</f>
        <v/>
      </c>
      <c r="E1246" s="39" t="n"/>
      <c r="F1246" s="40" t="n"/>
      <c r="G1246" s="40" t="n"/>
      <c r="H1246" s="40" t="n"/>
      <c r="I1246" s="39" t="n"/>
      <c r="J1246" s="13">
        <f>IF(N(F1246)&gt;0,G1246/F1246,"")</f>
        <v/>
      </c>
      <c r="K1246" s="10">
        <f>IF(N(G1246)&gt;0,E1246/G1246,"")</f>
        <v/>
      </c>
      <c r="L1246" s="10">
        <f>IF(N(H1246)&gt;0,E1246/H1246,"")</f>
        <v/>
      </c>
      <c r="M1246" s="11">
        <f>IF(N(E1246)&gt;0,I1246/E1246,"")</f>
        <v/>
      </c>
      <c r="N1246" s="10">
        <f>IF(AND(E1246="",I1246=""),"",N(I1246)*(1-COM-COM_SHOP)-N(E1246)*(1+IMP_META))</f>
        <v/>
      </c>
      <c r="O1246" s="37" t="n"/>
    </row>
    <row r="1247">
      <c r="A1247" s="36" t="n"/>
      <c r="B1247" s="37" t="n"/>
      <c r="C1247" s="37" t="n"/>
      <c r="D1247" s="38">
        <f>IF(C1247="","",IFERROR(INDEX(Anuncios!$B$6:$B$65,MATCH(C1247,Anuncios!$A$6:$A$65,0)),"(no está en Anuncios)"))</f>
        <v/>
      </c>
      <c r="E1247" s="39" t="n"/>
      <c r="F1247" s="40" t="n"/>
      <c r="G1247" s="40" t="n"/>
      <c r="H1247" s="40" t="n"/>
      <c r="I1247" s="39" t="n"/>
      <c r="J1247" s="13">
        <f>IF(N(F1247)&gt;0,G1247/F1247,"")</f>
        <v/>
      </c>
      <c r="K1247" s="10">
        <f>IF(N(G1247)&gt;0,E1247/G1247,"")</f>
        <v/>
      </c>
      <c r="L1247" s="10">
        <f>IF(N(H1247)&gt;0,E1247/H1247,"")</f>
        <v/>
      </c>
      <c r="M1247" s="11">
        <f>IF(N(E1247)&gt;0,I1247/E1247,"")</f>
        <v/>
      </c>
      <c r="N1247" s="10">
        <f>IF(AND(E1247="",I1247=""),"",N(I1247)*(1-COM-COM_SHOP)-N(E1247)*(1+IMP_META))</f>
        <v/>
      </c>
      <c r="O1247" s="37" t="n"/>
    </row>
    <row r="1248">
      <c r="A1248" s="36" t="n"/>
      <c r="B1248" s="37" t="n"/>
      <c r="C1248" s="37" t="n"/>
      <c r="D1248" s="38">
        <f>IF(C1248="","",IFERROR(INDEX(Anuncios!$B$6:$B$65,MATCH(C1248,Anuncios!$A$6:$A$65,0)),"(no está en Anuncios)"))</f>
        <v/>
      </c>
      <c r="E1248" s="39" t="n"/>
      <c r="F1248" s="40" t="n"/>
      <c r="G1248" s="40" t="n"/>
      <c r="H1248" s="40" t="n"/>
      <c r="I1248" s="39" t="n"/>
      <c r="J1248" s="13">
        <f>IF(N(F1248)&gt;0,G1248/F1248,"")</f>
        <v/>
      </c>
      <c r="K1248" s="10">
        <f>IF(N(G1248)&gt;0,E1248/G1248,"")</f>
        <v/>
      </c>
      <c r="L1248" s="10">
        <f>IF(N(H1248)&gt;0,E1248/H1248,"")</f>
        <v/>
      </c>
      <c r="M1248" s="11">
        <f>IF(N(E1248)&gt;0,I1248/E1248,"")</f>
        <v/>
      </c>
      <c r="N1248" s="10">
        <f>IF(AND(E1248="",I1248=""),"",N(I1248)*(1-COM-COM_SHOP)-N(E1248)*(1+IMP_META))</f>
        <v/>
      </c>
      <c r="O1248" s="37" t="n"/>
    </row>
    <row r="1249">
      <c r="A1249" s="36" t="n"/>
      <c r="B1249" s="37" t="n"/>
      <c r="C1249" s="37" t="n"/>
      <c r="D1249" s="38">
        <f>IF(C1249="","",IFERROR(INDEX(Anuncios!$B$6:$B$65,MATCH(C1249,Anuncios!$A$6:$A$65,0)),"(no está en Anuncios)"))</f>
        <v/>
      </c>
      <c r="E1249" s="39" t="n"/>
      <c r="F1249" s="40" t="n"/>
      <c r="G1249" s="40" t="n"/>
      <c r="H1249" s="40" t="n"/>
      <c r="I1249" s="39" t="n"/>
      <c r="J1249" s="13">
        <f>IF(N(F1249)&gt;0,G1249/F1249,"")</f>
        <v/>
      </c>
      <c r="K1249" s="10">
        <f>IF(N(G1249)&gt;0,E1249/G1249,"")</f>
        <v/>
      </c>
      <c r="L1249" s="10">
        <f>IF(N(H1249)&gt;0,E1249/H1249,"")</f>
        <v/>
      </c>
      <c r="M1249" s="11">
        <f>IF(N(E1249)&gt;0,I1249/E1249,"")</f>
        <v/>
      </c>
      <c r="N1249" s="10">
        <f>IF(AND(E1249="",I1249=""),"",N(I1249)*(1-COM-COM_SHOP)-N(E1249)*(1+IMP_META))</f>
        <v/>
      </c>
      <c r="O1249" s="37" t="n"/>
    </row>
    <row r="1250">
      <c r="A1250" s="36" t="n"/>
      <c r="B1250" s="37" t="n"/>
      <c r="C1250" s="37" t="n"/>
      <c r="D1250" s="38">
        <f>IF(C1250="","",IFERROR(INDEX(Anuncios!$B$6:$B$65,MATCH(C1250,Anuncios!$A$6:$A$65,0)),"(no está en Anuncios)"))</f>
        <v/>
      </c>
      <c r="E1250" s="39" t="n"/>
      <c r="F1250" s="40" t="n"/>
      <c r="G1250" s="40" t="n"/>
      <c r="H1250" s="40" t="n"/>
      <c r="I1250" s="39" t="n"/>
      <c r="J1250" s="13">
        <f>IF(N(F1250)&gt;0,G1250/F1250,"")</f>
        <v/>
      </c>
      <c r="K1250" s="10">
        <f>IF(N(G1250)&gt;0,E1250/G1250,"")</f>
        <v/>
      </c>
      <c r="L1250" s="10">
        <f>IF(N(H1250)&gt;0,E1250/H1250,"")</f>
        <v/>
      </c>
      <c r="M1250" s="11">
        <f>IF(N(E1250)&gt;0,I1250/E1250,"")</f>
        <v/>
      </c>
      <c r="N1250" s="10">
        <f>IF(AND(E1250="",I1250=""),"",N(I1250)*(1-COM-COM_SHOP)-N(E1250)*(1+IMP_META))</f>
        <v/>
      </c>
      <c r="O1250" s="37" t="n"/>
    </row>
    <row r="1251">
      <c r="A1251" s="36" t="n"/>
      <c r="B1251" s="37" t="n"/>
      <c r="C1251" s="37" t="n"/>
      <c r="D1251" s="38">
        <f>IF(C1251="","",IFERROR(INDEX(Anuncios!$B$6:$B$65,MATCH(C1251,Anuncios!$A$6:$A$65,0)),"(no está en Anuncios)"))</f>
        <v/>
      </c>
      <c r="E1251" s="39" t="n"/>
      <c r="F1251" s="40" t="n"/>
      <c r="G1251" s="40" t="n"/>
      <c r="H1251" s="40" t="n"/>
      <c r="I1251" s="39" t="n"/>
      <c r="J1251" s="13">
        <f>IF(N(F1251)&gt;0,G1251/F1251,"")</f>
        <v/>
      </c>
      <c r="K1251" s="10">
        <f>IF(N(G1251)&gt;0,E1251/G1251,"")</f>
        <v/>
      </c>
      <c r="L1251" s="10">
        <f>IF(N(H1251)&gt;0,E1251/H1251,"")</f>
        <v/>
      </c>
      <c r="M1251" s="11">
        <f>IF(N(E1251)&gt;0,I1251/E1251,"")</f>
        <v/>
      </c>
      <c r="N1251" s="10">
        <f>IF(AND(E1251="",I1251=""),"",N(I1251)*(1-COM-COM_SHOP)-N(E1251)*(1+IMP_META))</f>
        <v/>
      </c>
      <c r="O1251" s="37" t="n"/>
    </row>
    <row r="1252">
      <c r="A1252" s="36" t="n"/>
      <c r="B1252" s="37" t="n"/>
      <c r="C1252" s="37" t="n"/>
      <c r="D1252" s="38">
        <f>IF(C1252="","",IFERROR(INDEX(Anuncios!$B$6:$B$65,MATCH(C1252,Anuncios!$A$6:$A$65,0)),"(no está en Anuncios)"))</f>
        <v/>
      </c>
      <c r="E1252" s="39" t="n"/>
      <c r="F1252" s="40" t="n"/>
      <c r="G1252" s="40" t="n"/>
      <c r="H1252" s="40" t="n"/>
      <c r="I1252" s="39" t="n"/>
      <c r="J1252" s="13">
        <f>IF(N(F1252)&gt;0,G1252/F1252,"")</f>
        <v/>
      </c>
      <c r="K1252" s="10">
        <f>IF(N(G1252)&gt;0,E1252/G1252,"")</f>
        <v/>
      </c>
      <c r="L1252" s="10">
        <f>IF(N(H1252)&gt;0,E1252/H1252,"")</f>
        <v/>
      </c>
      <c r="M1252" s="11">
        <f>IF(N(E1252)&gt;0,I1252/E1252,"")</f>
        <v/>
      </c>
      <c r="N1252" s="10">
        <f>IF(AND(E1252="",I1252=""),"",N(I1252)*(1-COM-COM_SHOP)-N(E1252)*(1+IMP_META))</f>
        <v/>
      </c>
      <c r="O1252" s="37" t="n"/>
    </row>
    <row r="1253">
      <c r="A1253" s="36" t="n"/>
      <c r="B1253" s="37" t="n"/>
      <c r="C1253" s="37" t="n"/>
      <c r="D1253" s="38">
        <f>IF(C1253="","",IFERROR(INDEX(Anuncios!$B$6:$B$65,MATCH(C1253,Anuncios!$A$6:$A$65,0)),"(no está en Anuncios)"))</f>
        <v/>
      </c>
      <c r="E1253" s="39" t="n"/>
      <c r="F1253" s="40" t="n"/>
      <c r="G1253" s="40" t="n"/>
      <c r="H1253" s="40" t="n"/>
      <c r="I1253" s="39" t="n"/>
      <c r="J1253" s="13">
        <f>IF(N(F1253)&gt;0,G1253/F1253,"")</f>
        <v/>
      </c>
      <c r="K1253" s="10">
        <f>IF(N(G1253)&gt;0,E1253/G1253,"")</f>
        <v/>
      </c>
      <c r="L1253" s="10">
        <f>IF(N(H1253)&gt;0,E1253/H1253,"")</f>
        <v/>
      </c>
      <c r="M1253" s="11">
        <f>IF(N(E1253)&gt;0,I1253/E1253,"")</f>
        <v/>
      </c>
      <c r="N1253" s="10">
        <f>IF(AND(E1253="",I1253=""),"",N(I1253)*(1-COM-COM_SHOP)-N(E1253)*(1+IMP_META))</f>
        <v/>
      </c>
      <c r="O1253" s="37" t="n"/>
    </row>
    <row r="1254">
      <c r="A1254" s="36" t="n"/>
      <c r="B1254" s="37" t="n"/>
      <c r="C1254" s="37" t="n"/>
      <c r="D1254" s="38">
        <f>IF(C1254="","",IFERROR(INDEX(Anuncios!$B$6:$B$65,MATCH(C1254,Anuncios!$A$6:$A$65,0)),"(no está en Anuncios)"))</f>
        <v/>
      </c>
      <c r="E1254" s="39" t="n"/>
      <c r="F1254" s="40" t="n"/>
      <c r="G1254" s="40" t="n"/>
      <c r="H1254" s="40" t="n"/>
      <c r="I1254" s="39" t="n"/>
      <c r="J1254" s="13">
        <f>IF(N(F1254)&gt;0,G1254/F1254,"")</f>
        <v/>
      </c>
      <c r="K1254" s="10">
        <f>IF(N(G1254)&gt;0,E1254/G1254,"")</f>
        <v/>
      </c>
      <c r="L1254" s="10">
        <f>IF(N(H1254)&gt;0,E1254/H1254,"")</f>
        <v/>
      </c>
      <c r="M1254" s="11">
        <f>IF(N(E1254)&gt;0,I1254/E1254,"")</f>
        <v/>
      </c>
      <c r="N1254" s="10">
        <f>IF(AND(E1254="",I1254=""),"",N(I1254)*(1-COM-COM_SHOP)-N(E1254)*(1+IMP_META))</f>
        <v/>
      </c>
      <c r="O1254" s="37" t="n"/>
    </row>
    <row r="1255">
      <c r="A1255" s="36" t="n"/>
      <c r="B1255" s="37" t="n"/>
      <c r="C1255" s="37" t="n"/>
      <c r="D1255" s="38">
        <f>IF(C1255="","",IFERROR(INDEX(Anuncios!$B$6:$B$65,MATCH(C1255,Anuncios!$A$6:$A$65,0)),"(no está en Anuncios)"))</f>
        <v/>
      </c>
      <c r="E1255" s="39" t="n"/>
      <c r="F1255" s="40" t="n"/>
      <c r="G1255" s="40" t="n"/>
      <c r="H1255" s="40" t="n"/>
      <c r="I1255" s="39" t="n"/>
      <c r="J1255" s="13">
        <f>IF(N(F1255)&gt;0,G1255/F1255,"")</f>
        <v/>
      </c>
      <c r="K1255" s="10">
        <f>IF(N(G1255)&gt;0,E1255/G1255,"")</f>
        <v/>
      </c>
      <c r="L1255" s="10">
        <f>IF(N(H1255)&gt;0,E1255/H1255,"")</f>
        <v/>
      </c>
      <c r="M1255" s="11">
        <f>IF(N(E1255)&gt;0,I1255/E1255,"")</f>
        <v/>
      </c>
      <c r="N1255" s="10">
        <f>IF(AND(E1255="",I1255=""),"",N(I1255)*(1-COM-COM_SHOP)-N(E1255)*(1+IMP_META))</f>
        <v/>
      </c>
      <c r="O1255" s="37" t="n"/>
    </row>
    <row r="1256">
      <c r="A1256" s="36" t="n"/>
      <c r="B1256" s="37" t="n"/>
      <c r="C1256" s="37" t="n"/>
      <c r="D1256" s="38">
        <f>IF(C1256="","",IFERROR(INDEX(Anuncios!$B$6:$B$65,MATCH(C1256,Anuncios!$A$6:$A$65,0)),"(no está en Anuncios)"))</f>
        <v/>
      </c>
      <c r="E1256" s="39" t="n"/>
      <c r="F1256" s="40" t="n"/>
      <c r="G1256" s="40" t="n"/>
      <c r="H1256" s="40" t="n"/>
      <c r="I1256" s="39" t="n"/>
      <c r="J1256" s="13">
        <f>IF(N(F1256)&gt;0,G1256/F1256,"")</f>
        <v/>
      </c>
      <c r="K1256" s="10">
        <f>IF(N(G1256)&gt;0,E1256/G1256,"")</f>
        <v/>
      </c>
      <c r="L1256" s="10">
        <f>IF(N(H1256)&gt;0,E1256/H1256,"")</f>
        <v/>
      </c>
      <c r="M1256" s="11">
        <f>IF(N(E1256)&gt;0,I1256/E1256,"")</f>
        <v/>
      </c>
      <c r="N1256" s="10">
        <f>IF(AND(E1256="",I1256=""),"",N(I1256)*(1-COM-COM_SHOP)-N(E1256)*(1+IMP_META))</f>
        <v/>
      </c>
      <c r="O1256" s="37" t="n"/>
    </row>
    <row r="1257">
      <c r="A1257" s="36" t="n"/>
      <c r="B1257" s="37" t="n"/>
      <c r="C1257" s="37" t="n"/>
      <c r="D1257" s="38">
        <f>IF(C1257="","",IFERROR(INDEX(Anuncios!$B$6:$B$65,MATCH(C1257,Anuncios!$A$6:$A$65,0)),"(no está en Anuncios)"))</f>
        <v/>
      </c>
      <c r="E1257" s="39" t="n"/>
      <c r="F1257" s="40" t="n"/>
      <c r="G1257" s="40" t="n"/>
      <c r="H1257" s="40" t="n"/>
      <c r="I1257" s="39" t="n"/>
      <c r="J1257" s="13">
        <f>IF(N(F1257)&gt;0,G1257/F1257,"")</f>
        <v/>
      </c>
      <c r="K1257" s="10">
        <f>IF(N(G1257)&gt;0,E1257/G1257,"")</f>
        <v/>
      </c>
      <c r="L1257" s="10">
        <f>IF(N(H1257)&gt;0,E1257/H1257,"")</f>
        <v/>
      </c>
      <c r="M1257" s="11">
        <f>IF(N(E1257)&gt;0,I1257/E1257,"")</f>
        <v/>
      </c>
      <c r="N1257" s="10">
        <f>IF(AND(E1257="",I1257=""),"",N(I1257)*(1-COM-COM_SHOP)-N(E1257)*(1+IMP_META))</f>
        <v/>
      </c>
      <c r="O1257" s="37" t="n"/>
    </row>
    <row r="1258">
      <c r="A1258" s="36" t="n"/>
      <c r="B1258" s="37" t="n"/>
      <c r="C1258" s="37" t="n"/>
      <c r="D1258" s="38">
        <f>IF(C1258="","",IFERROR(INDEX(Anuncios!$B$6:$B$65,MATCH(C1258,Anuncios!$A$6:$A$65,0)),"(no está en Anuncios)"))</f>
        <v/>
      </c>
      <c r="E1258" s="39" t="n"/>
      <c r="F1258" s="40" t="n"/>
      <c r="G1258" s="40" t="n"/>
      <c r="H1258" s="40" t="n"/>
      <c r="I1258" s="39" t="n"/>
      <c r="J1258" s="13">
        <f>IF(N(F1258)&gt;0,G1258/F1258,"")</f>
        <v/>
      </c>
      <c r="K1258" s="10">
        <f>IF(N(G1258)&gt;0,E1258/G1258,"")</f>
        <v/>
      </c>
      <c r="L1258" s="10">
        <f>IF(N(H1258)&gt;0,E1258/H1258,"")</f>
        <v/>
      </c>
      <c r="M1258" s="11">
        <f>IF(N(E1258)&gt;0,I1258/E1258,"")</f>
        <v/>
      </c>
      <c r="N1258" s="10">
        <f>IF(AND(E1258="",I1258=""),"",N(I1258)*(1-COM-COM_SHOP)-N(E1258)*(1+IMP_META))</f>
        <v/>
      </c>
      <c r="O1258" s="37" t="n"/>
    </row>
    <row r="1259">
      <c r="A1259" s="36" t="n"/>
      <c r="B1259" s="37" t="n"/>
      <c r="C1259" s="37" t="n"/>
      <c r="D1259" s="38">
        <f>IF(C1259="","",IFERROR(INDEX(Anuncios!$B$6:$B$65,MATCH(C1259,Anuncios!$A$6:$A$65,0)),"(no está en Anuncios)"))</f>
        <v/>
      </c>
      <c r="E1259" s="39" t="n"/>
      <c r="F1259" s="40" t="n"/>
      <c r="G1259" s="40" t="n"/>
      <c r="H1259" s="40" t="n"/>
      <c r="I1259" s="39" t="n"/>
      <c r="J1259" s="13">
        <f>IF(N(F1259)&gt;0,G1259/F1259,"")</f>
        <v/>
      </c>
      <c r="K1259" s="10">
        <f>IF(N(G1259)&gt;0,E1259/G1259,"")</f>
        <v/>
      </c>
      <c r="L1259" s="10">
        <f>IF(N(H1259)&gt;0,E1259/H1259,"")</f>
        <v/>
      </c>
      <c r="M1259" s="11">
        <f>IF(N(E1259)&gt;0,I1259/E1259,"")</f>
        <v/>
      </c>
      <c r="N1259" s="10">
        <f>IF(AND(E1259="",I1259=""),"",N(I1259)*(1-COM-COM_SHOP)-N(E1259)*(1+IMP_META))</f>
        <v/>
      </c>
      <c r="O1259" s="37" t="n"/>
    </row>
    <row r="1260">
      <c r="A1260" s="36" t="n"/>
      <c r="B1260" s="37" t="n"/>
      <c r="C1260" s="37" t="n"/>
      <c r="D1260" s="38">
        <f>IF(C1260="","",IFERROR(INDEX(Anuncios!$B$6:$B$65,MATCH(C1260,Anuncios!$A$6:$A$65,0)),"(no está en Anuncios)"))</f>
        <v/>
      </c>
      <c r="E1260" s="39" t="n"/>
      <c r="F1260" s="40" t="n"/>
      <c r="G1260" s="40" t="n"/>
      <c r="H1260" s="40" t="n"/>
      <c r="I1260" s="39" t="n"/>
      <c r="J1260" s="13">
        <f>IF(N(F1260)&gt;0,G1260/F1260,"")</f>
        <v/>
      </c>
      <c r="K1260" s="10">
        <f>IF(N(G1260)&gt;0,E1260/G1260,"")</f>
        <v/>
      </c>
      <c r="L1260" s="10">
        <f>IF(N(H1260)&gt;0,E1260/H1260,"")</f>
        <v/>
      </c>
      <c r="M1260" s="11">
        <f>IF(N(E1260)&gt;0,I1260/E1260,"")</f>
        <v/>
      </c>
      <c r="N1260" s="10">
        <f>IF(AND(E1260="",I1260=""),"",N(I1260)*(1-COM-COM_SHOP)-N(E1260)*(1+IMP_META))</f>
        <v/>
      </c>
      <c r="O1260" s="37" t="n"/>
    </row>
    <row r="1261">
      <c r="A1261" s="36" t="n"/>
      <c r="B1261" s="37" t="n"/>
      <c r="C1261" s="37" t="n"/>
      <c r="D1261" s="38">
        <f>IF(C1261="","",IFERROR(INDEX(Anuncios!$B$6:$B$65,MATCH(C1261,Anuncios!$A$6:$A$65,0)),"(no está en Anuncios)"))</f>
        <v/>
      </c>
      <c r="E1261" s="39" t="n"/>
      <c r="F1261" s="40" t="n"/>
      <c r="G1261" s="40" t="n"/>
      <c r="H1261" s="40" t="n"/>
      <c r="I1261" s="39" t="n"/>
      <c r="J1261" s="13">
        <f>IF(N(F1261)&gt;0,G1261/F1261,"")</f>
        <v/>
      </c>
      <c r="K1261" s="10">
        <f>IF(N(G1261)&gt;0,E1261/G1261,"")</f>
        <v/>
      </c>
      <c r="L1261" s="10">
        <f>IF(N(H1261)&gt;0,E1261/H1261,"")</f>
        <v/>
      </c>
      <c r="M1261" s="11">
        <f>IF(N(E1261)&gt;0,I1261/E1261,"")</f>
        <v/>
      </c>
      <c r="N1261" s="10">
        <f>IF(AND(E1261="",I1261=""),"",N(I1261)*(1-COM-COM_SHOP)-N(E1261)*(1+IMP_META))</f>
        <v/>
      </c>
      <c r="O1261" s="37" t="n"/>
    </row>
    <row r="1262">
      <c r="A1262" s="36" t="n"/>
      <c r="B1262" s="37" t="n"/>
      <c r="C1262" s="37" t="n"/>
      <c r="D1262" s="38">
        <f>IF(C1262="","",IFERROR(INDEX(Anuncios!$B$6:$B$65,MATCH(C1262,Anuncios!$A$6:$A$65,0)),"(no está en Anuncios)"))</f>
        <v/>
      </c>
      <c r="E1262" s="39" t="n"/>
      <c r="F1262" s="40" t="n"/>
      <c r="G1262" s="40" t="n"/>
      <c r="H1262" s="40" t="n"/>
      <c r="I1262" s="39" t="n"/>
      <c r="J1262" s="13">
        <f>IF(N(F1262)&gt;0,G1262/F1262,"")</f>
        <v/>
      </c>
      <c r="K1262" s="10">
        <f>IF(N(G1262)&gt;0,E1262/G1262,"")</f>
        <v/>
      </c>
      <c r="L1262" s="10">
        <f>IF(N(H1262)&gt;0,E1262/H1262,"")</f>
        <v/>
      </c>
      <c r="M1262" s="11">
        <f>IF(N(E1262)&gt;0,I1262/E1262,"")</f>
        <v/>
      </c>
      <c r="N1262" s="10">
        <f>IF(AND(E1262="",I1262=""),"",N(I1262)*(1-COM-COM_SHOP)-N(E1262)*(1+IMP_META))</f>
        <v/>
      </c>
      <c r="O1262" s="37" t="n"/>
    </row>
    <row r="1263">
      <c r="A1263" s="36" t="n"/>
      <c r="B1263" s="37" t="n"/>
      <c r="C1263" s="37" t="n"/>
      <c r="D1263" s="38">
        <f>IF(C1263="","",IFERROR(INDEX(Anuncios!$B$6:$B$65,MATCH(C1263,Anuncios!$A$6:$A$65,0)),"(no está en Anuncios)"))</f>
        <v/>
      </c>
      <c r="E1263" s="39" t="n"/>
      <c r="F1263" s="40" t="n"/>
      <c r="G1263" s="40" t="n"/>
      <c r="H1263" s="40" t="n"/>
      <c r="I1263" s="39" t="n"/>
      <c r="J1263" s="13">
        <f>IF(N(F1263)&gt;0,G1263/F1263,"")</f>
        <v/>
      </c>
      <c r="K1263" s="10">
        <f>IF(N(G1263)&gt;0,E1263/G1263,"")</f>
        <v/>
      </c>
      <c r="L1263" s="10">
        <f>IF(N(H1263)&gt;0,E1263/H1263,"")</f>
        <v/>
      </c>
      <c r="M1263" s="11">
        <f>IF(N(E1263)&gt;0,I1263/E1263,"")</f>
        <v/>
      </c>
      <c r="N1263" s="10">
        <f>IF(AND(E1263="",I1263=""),"",N(I1263)*(1-COM-COM_SHOP)-N(E1263)*(1+IMP_META))</f>
        <v/>
      </c>
      <c r="O1263" s="37" t="n"/>
    </row>
    <row r="1264">
      <c r="A1264" s="36" t="n"/>
      <c r="B1264" s="37" t="n"/>
      <c r="C1264" s="37" t="n"/>
      <c r="D1264" s="38">
        <f>IF(C1264="","",IFERROR(INDEX(Anuncios!$B$6:$B$65,MATCH(C1264,Anuncios!$A$6:$A$65,0)),"(no está en Anuncios)"))</f>
        <v/>
      </c>
      <c r="E1264" s="39" t="n"/>
      <c r="F1264" s="40" t="n"/>
      <c r="G1264" s="40" t="n"/>
      <c r="H1264" s="40" t="n"/>
      <c r="I1264" s="39" t="n"/>
      <c r="J1264" s="13">
        <f>IF(N(F1264)&gt;0,G1264/F1264,"")</f>
        <v/>
      </c>
      <c r="K1264" s="10">
        <f>IF(N(G1264)&gt;0,E1264/G1264,"")</f>
        <v/>
      </c>
      <c r="L1264" s="10">
        <f>IF(N(H1264)&gt;0,E1264/H1264,"")</f>
        <v/>
      </c>
      <c r="M1264" s="11">
        <f>IF(N(E1264)&gt;0,I1264/E1264,"")</f>
        <v/>
      </c>
      <c r="N1264" s="10">
        <f>IF(AND(E1264="",I1264=""),"",N(I1264)*(1-COM-COM_SHOP)-N(E1264)*(1+IMP_META))</f>
        <v/>
      </c>
      <c r="O1264" s="37" t="n"/>
    </row>
    <row r="1265">
      <c r="A1265" s="36" t="n"/>
      <c r="B1265" s="37" t="n"/>
      <c r="C1265" s="37" t="n"/>
      <c r="D1265" s="38">
        <f>IF(C1265="","",IFERROR(INDEX(Anuncios!$B$6:$B$65,MATCH(C1265,Anuncios!$A$6:$A$65,0)),"(no está en Anuncios)"))</f>
        <v/>
      </c>
      <c r="E1265" s="39" t="n"/>
      <c r="F1265" s="40" t="n"/>
      <c r="G1265" s="40" t="n"/>
      <c r="H1265" s="40" t="n"/>
      <c r="I1265" s="39" t="n"/>
      <c r="J1265" s="13">
        <f>IF(N(F1265)&gt;0,G1265/F1265,"")</f>
        <v/>
      </c>
      <c r="K1265" s="10">
        <f>IF(N(G1265)&gt;0,E1265/G1265,"")</f>
        <v/>
      </c>
      <c r="L1265" s="10">
        <f>IF(N(H1265)&gt;0,E1265/H1265,"")</f>
        <v/>
      </c>
      <c r="M1265" s="11">
        <f>IF(N(E1265)&gt;0,I1265/E1265,"")</f>
        <v/>
      </c>
      <c r="N1265" s="10">
        <f>IF(AND(E1265="",I1265=""),"",N(I1265)*(1-COM-COM_SHOP)-N(E1265)*(1+IMP_META))</f>
        <v/>
      </c>
      <c r="O1265" s="37" t="n"/>
    </row>
    <row r="1266">
      <c r="A1266" s="36" t="n"/>
      <c r="B1266" s="37" t="n"/>
      <c r="C1266" s="37" t="n"/>
      <c r="D1266" s="38">
        <f>IF(C1266="","",IFERROR(INDEX(Anuncios!$B$6:$B$65,MATCH(C1266,Anuncios!$A$6:$A$65,0)),"(no está en Anuncios)"))</f>
        <v/>
      </c>
      <c r="E1266" s="39" t="n"/>
      <c r="F1266" s="40" t="n"/>
      <c r="G1266" s="40" t="n"/>
      <c r="H1266" s="40" t="n"/>
      <c r="I1266" s="39" t="n"/>
      <c r="J1266" s="13">
        <f>IF(N(F1266)&gt;0,G1266/F1266,"")</f>
        <v/>
      </c>
      <c r="K1266" s="10">
        <f>IF(N(G1266)&gt;0,E1266/G1266,"")</f>
        <v/>
      </c>
      <c r="L1266" s="10">
        <f>IF(N(H1266)&gt;0,E1266/H1266,"")</f>
        <v/>
      </c>
      <c r="M1266" s="11">
        <f>IF(N(E1266)&gt;0,I1266/E1266,"")</f>
        <v/>
      </c>
      <c r="N1266" s="10">
        <f>IF(AND(E1266="",I1266=""),"",N(I1266)*(1-COM-COM_SHOP)-N(E1266)*(1+IMP_META))</f>
        <v/>
      </c>
      <c r="O1266" s="37" t="n"/>
    </row>
    <row r="1267">
      <c r="A1267" s="36" t="n"/>
      <c r="B1267" s="37" t="n"/>
      <c r="C1267" s="37" t="n"/>
      <c r="D1267" s="38">
        <f>IF(C1267="","",IFERROR(INDEX(Anuncios!$B$6:$B$65,MATCH(C1267,Anuncios!$A$6:$A$65,0)),"(no está en Anuncios)"))</f>
        <v/>
      </c>
      <c r="E1267" s="39" t="n"/>
      <c r="F1267" s="40" t="n"/>
      <c r="G1267" s="40" t="n"/>
      <c r="H1267" s="40" t="n"/>
      <c r="I1267" s="39" t="n"/>
      <c r="J1267" s="13">
        <f>IF(N(F1267)&gt;0,G1267/F1267,"")</f>
        <v/>
      </c>
      <c r="K1267" s="10">
        <f>IF(N(G1267)&gt;0,E1267/G1267,"")</f>
        <v/>
      </c>
      <c r="L1267" s="10">
        <f>IF(N(H1267)&gt;0,E1267/H1267,"")</f>
        <v/>
      </c>
      <c r="M1267" s="11">
        <f>IF(N(E1267)&gt;0,I1267/E1267,"")</f>
        <v/>
      </c>
      <c r="N1267" s="10">
        <f>IF(AND(E1267="",I1267=""),"",N(I1267)*(1-COM-COM_SHOP)-N(E1267)*(1+IMP_META))</f>
        <v/>
      </c>
      <c r="O1267" s="37" t="n"/>
    </row>
    <row r="1268">
      <c r="A1268" s="36" t="n"/>
      <c r="B1268" s="37" t="n"/>
      <c r="C1268" s="37" t="n"/>
      <c r="D1268" s="38">
        <f>IF(C1268="","",IFERROR(INDEX(Anuncios!$B$6:$B$65,MATCH(C1268,Anuncios!$A$6:$A$65,0)),"(no está en Anuncios)"))</f>
        <v/>
      </c>
      <c r="E1268" s="39" t="n"/>
      <c r="F1268" s="40" t="n"/>
      <c r="G1268" s="40" t="n"/>
      <c r="H1268" s="40" t="n"/>
      <c r="I1268" s="39" t="n"/>
      <c r="J1268" s="13">
        <f>IF(N(F1268)&gt;0,G1268/F1268,"")</f>
        <v/>
      </c>
      <c r="K1268" s="10">
        <f>IF(N(G1268)&gt;0,E1268/G1268,"")</f>
        <v/>
      </c>
      <c r="L1268" s="10">
        <f>IF(N(H1268)&gt;0,E1268/H1268,"")</f>
        <v/>
      </c>
      <c r="M1268" s="11">
        <f>IF(N(E1268)&gt;0,I1268/E1268,"")</f>
        <v/>
      </c>
      <c r="N1268" s="10">
        <f>IF(AND(E1268="",I1268=""),"",N(I1268)*(1-COM-COM_SHOP)-N(E1268)*(1+IMP_META))</f>
        <v/>
      </c>
      <c r="O1268" s="37" t="n"/>
    </row>
    <row r="1269">
      <c r="A1269" s="36" t="n"/>
      <c r="B1269" s="37" t="n"/>
      <c r="C1269" s="37" t="n"/>
      <c r="D1269" s="38">
        <f>IF(C1269="","",IFERROR(INDEX(Anuncios!$B$6:$B$65,MATCH(C1269,Anuncios!$A$6:$A$65,0)),"(no está en Anuncios)"))</f>
        <v/>
      </c>
      <c r="E1269" s="39" t="n"/>
      <c r="F1269" s="40" t="n"/>
      <c r="G1269" s="40" t="n"/>
      <c r="H1269" s="40" t="n"/>
      <c r="I1269" s="39" t="n"/>
      <c r="J1269" s="13">
        <f>IF(N(F1269)&gt;0,G1269/F1269,"")</f>
        <v/>
      </c>
      <c r="K1269" s="10">
        <f>IF(N(G1269)&gt;0,E1269/G1269,"")</f>
        <v/>
      </c>
      <c r="L1269" s="10">
        <f>IF(N(H1269)&gt;0,E1269/H1269,"")</f>
        <v/>
      </c>
      <c r="M1269" s="11">
        <f>IF(N(E1269)&gt;0,I1269/E1269,"")</f>
        <v/>
      </c>
      <c r="N1269" s="10">
        <f>IF(AND(E1269="",I1269=""),"",N(I1269)*(1-COM-COM_SHOP)-N(E1269)*(1+IMP_META))</f>
        <v/>
      </c>
      <c r="O1269" s="37" t="n"/>
    </row>
    <row r="1270">
      <c r="A1270" s="36" t="n"/>
      <c r="B1270" s="37" t="n"/>
      <c r="C1270" s="37" t="n"/>
      <c r="D1270" s="38">
        <f>IF(C1270="","",IFERROR(INDEX(Anuncios!$B$6:$B$65,MATCH(C1270,Anuncios!$A$6:$A$65,0)),"(no está en Anuncios)"))</f>
        <v/>
      </c>
      <c r="E1270" s="39" t="n"/>
      <c r="F1270" s="40" t="n"/>
      <c r="G1270" s="40" t="n"/>
      <c r="H1270" s="40" t="n"/>
      <c r="I1270" s="39" t="n"/>
      <c r="J1270" s="13">
        <f>IF(N(F1270)&gt;0,G1270/F1270,"")</f>
        <v/>
      </c>
      <c r="K1270" s="10">
        <f>IF(N(G1270)&gt;0,E1270/G1270,"")</f>
        <v/>
      </c>
      <c r="L1270" s="10">
        <f>IF(N(H1270)&gt;0,E1270/H1270,"")</f>
        <v/>
      </c>
      <c r="M1270" s="11">
        <f>IF(N(E1270)&gt;0,I1270/E1270,"")</f>
        <v/>
      </c>
      <c r="N1270" s="10">
        <f>IF(AND(E1270="",I1270=""),"",N(I1270)*(1-COM-COM_SHOP)-N(E1270)*(1+IMP_META))</f>
        <v/>
      </c>
      <c r="O1270" s="37" t="n"/>
    </row>
    <row r="1271">
      <c r="A1271" s="36" t="n"/>
      <c r="B1271" s="37" t="n"/>
      <c r="C1271" s="37" t="n"/>
      <c r="D1271" s="38">
        <f>IF(C1271="","",IFERROR(INDEX(Anuncios!$B$6:$B$65,MATCH(C1271,Anuncios!$A$6:$A$65,0)),"(no está en Anuncios)"))</f>
        <v/>
      </c>
      <c r="E1271" s="39" t="n"/>
      <c r="F1271" s="40" t="n"/>
      <c r="G1271" s="40" t="n"/>
      <c r="H1271" s="40" t="n"/>
      <c r="I1271" s="39" t="n"/>
      <c r="J1271" s="13">
        <f>IF(N(F1271)&gt;0,G1271/F1271,"")</f>
        <v/>
      </c>
      <c r="K1271" s="10">
        <f>IF(N(G1271)&gt;0,E1271/G1271,"")</f>
        <v/>
      </c>
      <c r="L1271" s="10">
        <f>IF(N(H1271)&gt;0,E1271/H1271,"")</f>
        <v/>
      </c>
      <c r="M1271" s="11">
        <f>IF(N(E1271)&gt;0,I1271/E1271,"")</f>
        <v/>
      </c>
      <c r="N1271" s="10">
        <f>IF(AND(E1271="",I1271=""),"",N(I1271)*(1-COM-COM_SHOP)-N(E1271)*(1+IMP_META))</f>
        <v/>
      </c>
      <c r="O1271" s="37" t="n"/>
    </row>
    <row r="1272">
      <c r="A1272" s="36" t="n"/>
      <c r="B1272" s="37" t="n"/>
      <c r="C1272" s="37" t="n"/>
      <c r="D1272" s="38">
        <f>IF(C1272="","",IFERROR(INDEX(Anuncios!$B$6:$B$65,MATCH(C1272,Anuncios!$A$6:$A$65,0)),"(no está en Anuncios)"))</f>
        <v/>
      </c>
      <c r="E1272" s="39" t="n"/>
      <c r="F1272" s="40" t="n"/>
      <c r="G1272" s="40" t="n"/>
      <c r="H1272" s="40" t="n"/>
      <c r="I1272" s="39" t="n"/>
      <c r="J1272" s="13">
        <f>IF(N(F1272)&gt;0,G1272/F1272,"")</f>
        <v/>
      </c>
      <c r="K1272" s="10">
        <f>IF(N(G1272)&gt;0,E1272/G1272,"")</f>
        <v/>
      </c>
      <c r="L1272" s="10">
        <f>IF(N(H1272)&gt;0,E1272/H1272,"")</f>
        <v/>
      </c>
      <c r="M1272" s="11">
        <f>IF(N(E1272)&gt;0,I1272/E1272,"")</f>
        <v/>
      </c>
      <c r="N1272" s="10">
        <f>IF(AND(E1272="",I1272=""),"",N(I1272)*(1-COM-COM_SHOP)-N(E1272)*(1+IMP_META))</f>
        <v/>
      </c>
      <c r="O1272" s="37" t="n"/>
    </row>
    <row r="1273">
      <c r="A1273" s="36" t="n"/>
      <c r="B1273" s="37" t="n"/>
      <c r="C1273" s="37" t="n"/>
      <c r="D1273" s="38">
        <f>IF(C1273="","",IFERROR(INDEX(Anuncios!$B$6:$B$65,MATCH(C1273,Anuncios!$A$6:$A$65,0)),"(no está en Anuncios)"))</f>
        <v/>
      </c>
      <c r="E1273" s="39" t="n"/>
      <c r="F1273" s="40" t="n"/>
      <c r="G1273" s="40" t="n"/>
      <c r="H1273" s="40" t="n"/>
      <c r="I1273" s="39" t="n"/>
      <c r="J1273" s="13">
        <f>IF(N(F1273)&gt;0,G1273/F1273,"")</f>
        <v/>
      </c>
      <c r="K1273" s="10">
        <f>IF(N(G1273)&gt;0,E1273/G1273,"")</f>
        <v/>
      </c>
      <c r="L1273" s="10">
        <f>IF(N(H1273)&gt;0,E1273/H1273,"")</f>
        <v/>
      </c>
      <c r="M1273" s="11">
        <f>IF(N(E1273)&gt;0,I1273/E1273,"")</f>
        <v/>
      </c>
      <c r="N1273" s="10">
        <f>IF(AND(E1273="",I1273=""),"",N(I1273)*(1-COM-COM_SHOP)-N(E1273)*(1+IMP_META))</f>
        <v/>
      </c>
      <c r="O1273" s="37" t="n"/>
    </row>
    <row r="1274">
      <c r="A1274" s="36" t="n"/>
      <c r="B1274" s="37" t="n"/>
      <c r="C1274" s="37" t="n"/>
      <c r="D1274" s="38">
        <f>IF(C1274="","",IFERROR(INDEX(Anuncios!$B$6:$B$65,MATCH(C1274,Anuncios!$A$6:$A$65,0)),"(no está en Anuncios)"))</f>
        <v/>
      </c>
      <c r="E1274" s="39" t="n"/>
      <c r="F1274" s="40" t="n"/>
      <c r="G1274" s="40" t="n"/>
      <c r="H1274" s="40" t="n"/>
      <c r="I1274" s="39" t="n"/>
      <c r="J1274" s="13">
        <f>IF(N(F1274)&gt;0,G1274/F1274,"")</f>
        <v/>
      </c>
      <c r="K1274" s="10">
        <f>IF(N(G1274)&gt;0,E1274/G1274,"")</f>
        <v/>
      </c>
      <c r="L1274" s="10">
        <f>IF(N(H1274)&gt;0,E1274/H1274,"")</f>
        <v/>
      </c>
      <c r="M1274" s="11">
        <f>IF(N(E1274)&gt;0,I1274/E1274,"")</f>
        <v/>
      </c>
      <c r="N1274" s="10">
        <f>IF(AND(E1274="",I1274=""),"",N(I1274)*(1-COM-COM_SHOP)-N(E1274)*(1+IMP_META))</f>
        <v/>
      </c>
      <c r="O1274" s="37" t="n"/>
    </row>
    <row r="1275">
      <c r="A1275" s="36" t="n"/>
      <c r="B1275" s="37" t="n"/>
      <c r="C1275" s="37" t="n"/>
      <c r="D1275" s="38">
        <f>IF(C1275="","",IFERROR(INDEX(Anuncios!$B$6:$B$65,MATCH(C1275,Anuncios!$A$6:$A$65,0)),"(no está en Anuncios)"))</f>
        <v/>
      </c>
      <c r="E1275" s="39" t="n"/>
      <c r="F1275" s="40" t="n"/>
      <c r="G1275" s="40" t="n"/>
      <c r="H1275" s="40" t="n"/>
      <c r="I1275" s="39" t="n"/>
      <c r="J1275" s="13">
        <f>IF(N(F1275)&gt;0,G1275/F1275,"")</f>
        <v/>
      </c>
      <c r="K1275" s="10">
        <f>IF(N(G1275)&gt;0,E1275/G1275,"")</f>
        <v/>
      </c>
      <c r="L1275" s="10">
        <f>IF(N(H1275)&gt;0,E1275/H1275,"")</f>
        <v/>
      </c>
      <c r="M1275" s="11">
        <f>IF(N(E1275)&gt;0,I1275/E1275,"")</f>
        <v/>
      </c>
      <c r="N1275" s="10">
        <f>IF(AND(E1275="",I1275=""),"",N(I1275)*(1-COM-COM_SHOP)-N(E1275)*(1+IMP_META))</f>
        <v/>
      </c>
      <c r="O1275" s="37" t="n"/>
    </row>
    <row r="1276">
      <c r="A1276" s="36" t="n"/>
      <c r="B1276" s="37" t="n"/>
      <c r="C1276" s="37" t="n"/>
      <c r="D1276" s="38">
        <f>IF(C1276="","",IFERROR(INDEX(Anuncios!$B$6:$B$65,MATCH(C1276,Anuncios!$A$6:$A$65,0)),"(no está en Anuncios)"))</f>
        <v/>
      </c>
      <c r="E1276" s="39" t="n"/>
      <c r="F1276" s="40" t="n"/>
      <c r="G1276" s="40" t="n"/>
      <c r="H1276" s="40" t="n"/>
      <c r="I1276" s="39" t="n"/>
      <c r="J1276" s="13">
        <f>IF(N(F1276)&gt;0,G1276/F1276,"")</f>
        <v/>
      </c>
      <c r="K1276" s="10">
        <f>IF(N(G1276)&gt;0,E1276/G1276,"")</f>
        <v/>
      </c>
      <c r="L1276" s="10">
        <f>IF(N(H1276)&gt;0,E1276/H1276,"")</f>
        <v/>
      </c>
      <c r="M1276" s="11">
        <f>IF(N(E1276)&gt;0,I1276/E1276,"")</f>
        <v/>
      </c>
      <c r="N1276" s="10">
        <f>IF(AND(E1276="",I1276=""),"",N(I1276)*(1-COM-COM_SHOP)-N(E1276)*(1+IMP_META))</f>
        <v/>
      </c>
      <c r="O1276" s="37" t="n"/>
    </row>
    <row r="1277">
      <c r="A1277" s="36" t="n"/>
      <c r="B1277" s="37" t="n"/>
      <c r="C1277" s="37" t="n"/>
      <c r="D1277" s="38">
        <f>IF(C1277="","",IFERROR(INDEX(Anuncios!$B$6:$B$65,MATCH(C1277,Anuncios!$A$6:$A$65,0)),"(no está en Anuncios)"))</f>
        <v/>
      </c>
      <c r="E1277" s="39" t="n"/>
      <c r="F1277" s="40" t="n"/>
      <c r="G1277" s="40" t="n"/>
      <c r="H1277" s="40" t="n"/>
      <c r="I1277" s="39" t="n"/>
      <c r="J1277" s="13">
        <f>IF(N(F1277)&gt;0,G1277/F1277,"")</f>
        <v/>
      </c>
      <c r="K1277" s="10">
        <f>IF(N(G1277)&gt;0,E1277/G1277,"")</f>
        <v/>
      </c>
      <c r="L1277" s="10">
        <f>IF(N(H1277)&gt;0,E1277/H1277,"")</f>
        <v/>
      </c>
      <c r="M1277" s="11">
        <f>IF(N(E1277)&gt;0,I1277/E1277,"")</f>
        <v/>
      </c>
      <c r="N1277" s="10">
        <f>IF(AND(E1277="",I1277=""),"",N(I1277)*(1-COM-COM_SHOP)-N(E1277)*(1+IMP_META))</f>
        <v/>
      </c>
      <c r="O1277" s="37" t="n"/>
    </row>
    <row r="1278">
      <c r="A1278" s="36" t="n"/>
      <c r="B1278" s="37" t="n"/>
      <c r="C1278" s="37" t="n"/>
      <c r="D1278" s="38">
        <f>IF(C1278="","",IFERROR(INDEX(Anuncios!$B$6:$B$65,MATCH(C1278,Anuncios!$A$6:$A$65,0)),"(no está en Anuncios)"))</f>
        <v/>
      </c>
      <c r="E1278" s="39" t="n"/>
      <c r="F1278" s="40" t="n"/>
      <c r="G1278" s="40" t="n"/>
      <c r="H1278" s="40" t="n"/>
      <c r="I1278" s="39" t="n"/>
      <c r="J1278" s="13">
        <f>IF(N(F1278)&gt;0,G1278/F1278,"")</f>
        <v/>
      </c>
      <c r="K1278" s="10">
        <f>IF(N(G1278)&gt;0,E1278/G1278,"")</f>
        <v/>
      </c>
      <c r="L1278" s="10">
        <f>IF(N(H1278)&gt;0,E1278/H1278,"")</f>
        <v/>
      </c>
      <c r="M1278" s="11">
        <f>IF(N(E1278)&gt;0,I1278/E1278,"")</f>
        <v/>
      </c>
      <c r="N1278" s="10">
        <f>IF(AND(E1278="",I1278=""),"",N(I1278)*(1-COM-COM_SHOP)-N(E1278)*(1+IMP_META))</f>
        <v/>
      </c>
      <c r="O1278" s="37" t="n"/>
    </row>
    <row r="1279">
      <c r="A1279" s="36" t="n"/>
      <c r="B1279" s="37" t="n"/>
      <c r="C1279" s="37" t="n"/>
      <c r="D1279" s="38">
        <f>IF(C1279="","",IFERROR(INDEX(Anuncios!$B$6:$B$65,MATCH(C1279,Anuncios!$A$6:$A$65,0)),"(no está en Anuncios)"))</f>
        <v/>
      </c>
      <c r="E1279" s="39" t="n"/>
      <c r="F1279" s="40" t="n"/>
      <c r="G1279" s="40" t="n"/>
      <c r="H1279" s="40" t="n"/>
      <c r="I1279" s="39" t="n"/>
      <c r="J1279" s="13">
        <f>IF(N(F1279)&gt;0,G1279/F1279,"")</f>
        <v/>
      </c>
      <c r="K1279" s="10">
        <f>IF(N(G1279)&gt;0,E1279/G1279,"")</f>
        <v/>
      </c>
      <c r="L1279" s="10">
        <f>IF(N(H1279)&gt;0,E1279/H1279,"")</f>
        <v/>
      </c>
      <c r="M1279" s="11">
        <f>IF(N(E1279)&gt;0,I1279/E1279,"")</f>
        <v/>
      </c>
      <c r="N1279" s="10">
        <f>IF(AND(E1279="",I1279=""),"",N(I1279)*(1-COM-COM_SHOP)-N(E1279)*(1+IMP_META))</f>
        <v/>
      </c>
      <c r="O1279" s="37" t="n"/>
    </row>
    <row r="1280">
      <c r="A1280" s="36" t="n"/>
      <c r="B1280" s="37" t="n"/>
      <c r="C1280" s="37" t="n"/>
      <c r="D1280" s="38">
        <f>IF(C1280="","",IFERROR(INDEX(Anuncios!$B$6:$B$65,MATCH(C1280,Anuncios!$A$6:$A$65,0)),"(no está en Anuncios)"))</f>
        <v/>
      </c>
      <c r="E1280" s="39" t="n"/>
      <c r="F1280" s="40" t="n"/>
      <c r="G1280" s="40" t="n"/>
      <c r="H1280" s="40" t="n"/>
      <c r="I1280" s="39" t="n"/>
      <c r="J1280" s="13">
        <f>IF(N(F1280)&gt;0,G1280/F1280,"")</f>
        <v/>
      </c>
      <c r="K1280" s="10">
        <f>IF(N(G1280)&gt;0,E1280/G1280,"")</f>
        <v/>
      </c>
      <c r="L1280" s="10">
        <f>IF(N(H1280)&gt;0,E1280/H1280,"")</f>
        <v/>
      </c>
      <c r="M1280" s="11">
        <f>IF(N(E1280)&gt;0,I1280/E1280,"")</f>
        <v/>
      </c>
      <c r="N1280" s="10">
        <f>IF(AND(E1280="",I1280=""),"",N(I1280)*(1-COM-COM_SHOP)-N(E1280)*(1+IMP_META))</f>
        <v/>
      </c>
      <c r="O1280" s="37" t="n"/>
    </row>
    <row r="1281">
      <c r="A1281" s="36" t="n"/>
      <c r="B1281" s="37" t="n"/>
      <c r="C1281" s="37" t="n"/>
      <c r="D1281" s="38">
        <f>IF(C1281="","",IFERROR(INDEX(Anuncios!$B$6:$B$65,MATCH(C1281,Anuncios!$A$6:$A$65,0)),"(no está en Anuncios)"))</f>
        <v/>
      </c>
      <c r="E1281" s="39" t="n"/>
      <c r="F1281" s="40" t="n"/>
      <c r="G1281" s="40" t="n"/>
      <c r="H1281" s="40" t="n"/>
      <c r="I1281" s="39" t="n"/>
      <c r="J1281" s="13">
        <f>IF(N(F1281)&gt;0,G1281/F1281,"")</f>
        <v/>
      </c>
      <c r="K1281" s="10">
        <f>IF(N(G1281)&gt;0,E1281/G1281,"")</f>
        <v/>
      </c>
      <c r="L1281" s="10">
        <f>IF(N(H1281)&gt;0,E1281/H1281,"")</f>
        <v/>
      </c>
      <c r="M1281" s="11">
        <f>IF(N(E1281)&gt;0,I1281/E1281,"")</f>
        <v/>
      </c>
      <c r="N1281" s="10">
        <f>IF(AND(E1281="",I1281=""),"",N(I1281)*(1-COM-COM_SHOP)-N(E1281)*(1+IMP_META))</f>
        <v/>
      </c>
      <c r="O1281" s="37" t="n"/>
    </row>
    <row r="1282">
      <c r="A1282" s="36" t="n"/>
      <c r="B1282" s="37" t="n"/>
      <c r="C1282" s="37" t="n"/>
      <c r="D1282" s="38">
        <f>IF(C1282="","",IFERROR(INDEX(Anuncios!$B$6:$B$65,MATCH(C1282,Anuncios!$A$6:$A$65,0)),"(no está en Anuncios)"))</f>
        <v/>
      </c>
      <c r="E1282" s="39" t="n"/>
      <c r="F1282" s="40" t="n"/>
      <c r="G1282" s="40" t="n"/>
      <c r="H1282" s="40" t="n"/>
      <c r="I1282" s="39" t="n"/>
      <c r="J1282" s="13">
        <f>IF(N(F1282)&gt;0,G1282/F1282,"")</f>
        <v/>
      </c>
      <c r="K1282" s="10">
        <f>IF(N(G1282)&gt;0,E1282/G1282,"")</f>
        <v/>
      </c>
      <c r="L1282" s="10">
        <f>IF(N(H1282)&gt;0,E1282/H1282,"")</f>
        <v/>
      </c>
      <c r="M1282" s="11">
        <f>IF(N(E1282)&gt;0,I1282/E1282,"")</f>
        <v/>
      </c>
      <c r="N1282" s="10">
        <f>IF(AND(E1282="",I1282=""),"",N(I1282)*(1-COM-COM_SHOP)-N(E1282)*(1+IMP_META))</f>
        <v/>
      </c>
      <c r="O1282" s="37" t="n"/>
    </row>
    <row r="1283">
      <c r="A1283" s="36" t="n"/>
      <c r="B1283" s="37" t="n"/>
      <c r="C1283" s="37" t="n"/>
      <c r="D1283" s="38">
        <f>IF(C1283="","",IFERROR(INDEX(Anuncios!$B$6:$B$65,MATCH(C1283,Anuncios!$A$6:$A$65,0)),"(no está en Anuncios)"))</f>
        <v/>
      </c>
      <c r="E1283" s="39" t="n"/>
      <c r="F1283" s="40" t="n"/>
      <c r="G1283" s="40" t="n"/>
      <c r="H1283" s="40" t="n"/>
      <c r="I1283" s="39" t="n"/>
      <c r="J1283" s="13">
        <f>IF(N(F1283)&gt;0,G1283/F1283,"")</f>
        <v/>
      </c>
      <c r="K1283" s="10">
        <f>IF(N(G1283)&gt;0,E1283/G1283,"")</f>
        <v/>
      </c>
      <c r="L1283" s="10">
        <f>IF(N(H1283)&gt;0,E1283/H1283,"")</f>
        <v/>
      </c>
      <c r="M1283" s="11">
        <f>IF(N(E1283)&gt;0,I1283/E1283,"")</f>
        <v/>
      </c>
      <c r="N1283" s="10">
        <f>IF(AND(E1283="",I1283=""),"",N(I1283)*(1-COM-COM_SHOP)-N(E1283)*(1+IMP_META))</f>
        <v/>
      </c>
      <c r="O1283" s="37" t="n"/>
    </row>
    <row r="1284">
      <c r="A1284" s="36" t="n"/>
      <c r="B1284" s="37" t="n"/>
      <c r="C1284" s="37" t="n"/>
      <c r="D1284" s="38">
        <f>IF(C1284="","",IFERROR(INDEX(Anuncios!$B$6:$B$65,MATCH(C1284,Anuncios!$A$6:$A$65,0)),"(no está en Anuncios)"))</f>
        <v/>
      </c>
      <c r="E1284" s="39" t="n"/>
      <c r="F1284" s="40" t="n"/>
      <c r="G1284" s="40" t="n"/>
      <c r="H1284" s="40" t="n"/>
      <c r="I1284" s="39" t="n"/>
      <c r="J1284" s="13">
        <f>IF(N(F1284)&gt;0,G1284/F1284,"")</f>
        <v/>
      </c>
      <c r="K1284" s="10">
        <f>IF(N(G1284)&gt;0,E1284/G1284,"")</f>
        <v/>
      </c>
      <c r="L1284" s="10">
        <f>IF(N(H1284)&gt;0,E1284/H1284,"")</f>
        <v/>
      </c>
      <c r="M1284" s="11">
        <f>IF(N(E1284)&gt;0,I1284/E1284,"")</f>
        <v/>
      </c>
      <c r="N1284" s="10">
        <f>IF(AND(E1284="",I1284=""),"",N(I1284)*(1-COM-COM_SHOP)-N(E1284)*(1+IMP_META))</f>
        <v/>
      </c>
      <c r="O1284" s="37" t="n"/>
    </row>
    <row r="1285">
      <c r="A1285" s="36" t="n"/>
      <c r="B1285" s="37" t="n"/>
      <c r="C1285" s="37" t="n"/>
      <c r="D1285" s="38">
        <f>IF(C1285="","",IFERROR(INDEX(Anuncios!$B$6:$B$65,MATCH(C1285,Anuncios!$A$6:$A$65,0)),"(no está en Anuncios)"))</f>
        <v/>
      </c>
      <c r="E1285" s="39" t="n"/>
      <c r="F1285" s="40" t="n"/>
      <c r="G1285" s="40" t="n"/>
      <c r="H1285" s="40" t="n"/>
      <c r="I1285" s="39" t="n"/>
      <c r="J1285" s="13">
        <f>IF(N(F1285)&gt;0,G1285/F1285,"")</f>
        <v/>
      </c>
      <c r="K1285" s="10">
        <f>IF(N(G1285)&gt;0,E1285/G1285,"")</f>
        <v/>
      </c>
      <c r="L1285" s="10">
        <f>IF(N(H1285)&gt;0,E1285/H1285,"")</f>
        <v/>
      </c>
      <c r="M1285" s="11">
        <f>IF(N(E1285)&gt;0,I1285/E1285,"")</f>
        <v/>
      </c>
      <c r="N1285" s="10">
        <f>IF(AND(E1285="",I1285=""),"",N(I1285)*(1-COM-COM_SHOP)-N(E1285)*(1+IMP_META))</f>
        <v/>
      </c>
      <c r="O1285" s="37" t="n"/>
    </row>
    <row r="1286">
      <c r="A1286" s="36" t="n"/>
      <c r="B1286" s="37" t="n"/>
      <c r="C1286" s="37" t="n"/>
      <c r="D1286" s="38">
        <f>IF(C1286="","",IFERROR(INDEX(Anuncios!$B$6:$B$65,MATCH(C1286,Anuncios!$A$6:$A$65,0)),"(no está en Anuncios)"))</f>
        <v/>
      </c>
      <c r="E1286" s="39" t="n"/>
      <c r="F1286" s="40" t="n"/>
      <c r="G1286" s="40" t="n"/>
      <c r="H1286" s="40" t="n"/>
      <c r="I1286" s="39" t="n"/>
      <c r="J1286" s="13">
        <f>IF(N(F1286)&gt;0,G1286/F1286,"")</f>
        <v/>
      </c>
      <c r="K1286" s="10">
        <f>IF(N(G1286)&gt;0,E1286/G1286,"")</f>
        <v/>
      </c>
      <c r="L1286" s="10">
        <f>IF(N(H1286)&gt;0,E1286/H1286,"")</f>
        <v/>
      </c>
      <c r="M1286" s="11">
        <f>IF(N(E1286)&gt;0,I1286/E1286,"")</f>
        <v/>
      </c>
      <c r="N1286" s="10">
        <f>IF(AND(E1286="",I1286=""),"",N(I1286)*(1-COM-COM_SHOP)-N(E1286)*(1+IMP_META))</f>
        <v/>
      </c>
      <c r="O1286" s="37" t="n"/>
    </row>
    <row r="1287">
      <c r="A1287" s="36" t="n"/>
      <c r="B1287" s="37" t="n"/>
      <c r="C1287" s="37" t="n"/>
      <c r="D1287" s="38">
        <f>IF(C1287="","",IFERROR(INDEX(Anuncios!$B$6:$B$65,MATCH(C1287,Anuncios!$A$6:$A$65,0)),"(no está en Anuncios)"))</f>
        <v/>
      </c>
      <c r="E1287" s="39" t="n"/>
      <c r="F1287" s="40" t="n"/>
      <c r="G1287" s="40" t="n"/>
      <c r="H1287" s="40" t="n"/>
      <c r="I1287" s="39" t="n"/>
      <c r="J1287" s="13">
        <f>IF(N(F1287)&gt;0,G1287/F1287,"")</f>
        <v/>
      </c>
      <c r="K1287" s="10">
        <f>IF(N(G1287)&gt;0,E1287/G1287,"")</f>
        <v/>
      </c>
      <c r="L1287" s="10">
        <f>IF(N(H1287)&gt;0,E1287/H1287,"")</f>
        <v/>
      </c>
      <c r="M1287" s="11">
        <f>IF(N(E1287)&gt;0,I1287/E1287,"")</f>
        <v/>
      </c>
      <c r="N1287" s="10">
        <f>IF(AND(E1287="",I1287=""),"",N(I1287)*(1-COM-COM_SHOP)-N(E1287)*(1+IMP_META))</f>
        <v/>
      </c>
      <c r="O1287" s="37" t="n"/>
    </row>
    <row r="1288">
      <c r="A1288" s="36" t="n"/>
      <c r="B1288" s="37" t="n"/>
      <c r="C1288" s="37" t="n"/>
      <c r="D1288" s="38">
        <f>IF(C1288="","",IFERROR(INDEX(Anuncios!$B$6:$B$65,MATCH(C1288,Anuncios!$A$6:$A$65,0)),"(no está en Anuncios)"))</f>
        <v/>
      </c>
      <c r="E1288" s="39" t="n"/>
      <c r="F1288" s="40" t="n"/>
      <c r="G1288" s="40" t="n"/>
      <c r="H1288" s="40" t="n"/>
      <c r="I1288" s="39" t="n"/>
      <c r="J1288" s="13">
        <f>IF(N(F1288)&gt;0,G1288/F1288,"")</f>
        <v/>
      </c>
      <c r="K1288" s="10">
        <f>IF(N(G1288)&gt;0,E1288/G1288,"")</f>
        <v/>
      </c>
      <c r="L1288" s="10">
        <f>IF(N(H1288)&gt;0,E1288/H1288,"")</f>
        <v/>
      </c>
      <c r="M1288" s="11">
        <f>IF(N(E1288)&gt;0,I1288/E1288,"")</f>
        <v/>
      </c>
      <c r="N1288" s="10">
        <f>IF(AND(E1288="",I1288=""),"",N(I1288)*(1-COM-COM_SHOP)-N(E1288)*(1+IMP_META))</f>
        <v/>
      </c>
      <c r="O1288" s="37" t="n"/>
    </row>
    <row r="1289">
      <c r="A1289" s="36" t="n"/>
      <c r="B1289" s="37" t="n"/>
      <c r="C1289" s="37" t="n"/>
      <c r="D1289" s="38">
        <f>IF(C1289="","",IFERROR(INDEX(Anuncios!$B$6:$B$65,MATCH(C1289,Anuncios!$A$6:$A$65,0)),"(no está en Anuncios)"))</f>
        <v/>
      </c>
      <c r="E1289" s="39" t="n"/>
      <c r="F1289" s="40" t="n"/>
      <c r="G1289" s="40" t="n"/>
      <c r="H1289" s="40" t="n"/>
      <c r="I1289" s="39" t="n"/>
      <c r="J1289" s="13">
        <f>IF(N(F1289)&gt;0,G1289/F1289,"")</f>
        <v/>
      </c>
      <c r="K1289" s="10">
        <f>IF(N(G1289)&gt;0,E1289/G1289,"")</f>
        <v/>
      </c>
      <c r="L1289" s="10">
        <f>IF(N(H1289)&gt;0,E1289/H1289,"")</f>
        <v/>
      </c>
      <c r="M1289" s="11">
        <f>IF(N(E1289)&gt;0,I1289/E1289,"")</f>
        <v/>
      </c>
      <c r="N1289" s="10">
        <f>IF(AND(E1289="",I1289=""),"",N(I1289)*(1-COM-COM_SHOP)-N(E1289)*(1+IMP_META))</f>
        <v/>
      </c>
      <c r="O1289" s="37" t="n"/>
    </row>
    <row r="1290">
      <c r="A1290" s="36" t="n"/>
      <c r="B1290" s="37" t="n"/>
      <c r="C1290" s="37" t="n"/>
      <c r="D1290" s="38">
        <f>IF(C1290="","",IFERROR(INDEX(Anuncios!$B$6:$B$65,MATCH(C1290,Anuncios!$A$6:$A$65,0)),"(no está en Anuncios)"))</f>
        <v/>
      </c>
      <c r="E1290" s="39" t="n"/>
      <c r="F1290" s="40" t="n"/>
      <c r="G1290" s="40" t="n"/>
      <c r="H1290" s="40" t="n"/>
      <c r="I1290" s="39" t="n"/>
      <c r="J1290" s="13">
        <f>IF(N(F1290)&gt;0,G1290/F1290,"")</f>
        <v/>
      </c>
      <c r="K1290" s="10">
        <f>IF(N(G1290)&gt;0,E1290/G1290,"")</f>
        <v/>
      </c>
      <c r="L1290" s="10">
        <f>IF(N(H1290)&gt;0,E1290/H1290,"")</f>
        <v/>
      </c>
      <c r="M1290" s="11">
        <f>IF(N(E1290)&gt;0,I1290/E1290,"")</f>
        <v/>
      </c>
      <c r="N1290" s="10">
        <f>IF(AND(E1290="",I1290=""),"",N(I1290)*(1-COM-COM_SHOP)-N(E1290)*(1+IMP_META))</f>
        <v/>
      </c>
      <c r="O1290" s="37" t="n"/>
    </row>
    <row r="1291">
      <c r="A1291" s="36" t="n"/>
      <c r="B1291" s="37" t="n"/>
      <c r="C1291" s="37" t="n"/>
      <c r="D1291" s="38">
        <f>IF(C1291="","",IFERROR(INDEX(Anuncios!$B$6:$B$65,MATCH(C1291,Anuncios!$A$6:$A$65,0)),"(no está en Anuncios)"))</f>
        <v/>
      </c>
      <c r="E1291" s="39" t="n"/>
      <c r="F1291" s="40" t="n"/>
      <c r="G1291" s="40" t="n"/>
      <c r="H1291" s="40" t="n"/>
      <c r="I1291" s="39" t="n"/>
      <c r="J1291" s="13">
        <f>IF(N(F1291)&gt;0,G1291/F1291,"")</f>
        <v/>
      </c>
      <c r="K1291" s="10">
        <f>IF(N(G1291)&gt;0,E1291/G1291,"")</f>
        <v/>
      </c>
      <c r="L1291" s="10">
        <f>IF(N(H1291)&gt;0,E1291/H1291,"")</f>
        <v/>
      </c>
      <c r="M1291" s="11">
        <f>IF(N(E1291)&gt;0,I1291/E1291,"")</f>
        <v/>
      </c>
      <c r="N1291" s="10">
        <f>IF(AND(E1291="",I1291=""),"",N(I1291)*(1-COM-COM_SHOP)-N(E1291)*(1+IMP_META))</f>
        <v/>
      </c>
      <c r="O1291" s="37" t="n"/>
    </row>
    <row r="1292">
      <c r="A1292" s="36" t="n"/>
      <c r="B1292" s="37" t="n"/>
      <c r="C1292" s="37" t="n"/>
      <c r="D1292" s="38">
        <f>IF(C1292="","",IFERROR(INDEX(Anuncios!$B$6:$B$65,MATCH(C1292,Anuncios!$A$6:$A$65,0)),"(no está en Anuncios)"))</f>
        <v/>
      </c>
      <c r="E1292" s="39" t="n"/>
      <c r="F1292" s="40" t="n"/>
      <c r="G1292" s="40" t="n"/>
      <c r="H1292" s="40" t="n"/>
      <c r="I1292" s="39" t="n"/>
      <c r="J1292" s="13">
        <f>IF(N(F1292)&gt;0,G1292/F1292,"")</f>
        <v/>
      </c>
      <c r="K1292" s="10">
        <f>IF(N(G1292)&gt;0,E1292/G1292,"")</f>
        <v/>
      </c>
      <c r="L1292" s="10">
        <f>IF(N(H1292)&gt;0,E1292/H1292,"")</f>
        <v/>
      </c>
      <c r="M1292" s="11">
        <f>IF(N(E1292)&gt;0,I1292/E1292,"")</f>
        <v/>
      </c>
      <c r="N1292" s="10">
        <f>IF(AND(E1292="",I1292=""),"",N(I1292)*(1-COM-COM_SHOP)-N(E1292)*(1+IMP_META))</f>
        <v/>
      </c>
      <c r="O1292" s="37" t="n"/>
    </row>
    <row r="1293">
      <c r="A1293" s="36" t="n"/>
      <c r="B1293" s="37" t="n"/>
      <c r="C1293" s="37" t="n"/>
      <c r="D1293" s="38">
        <f>IF(C1293="","",IFERROR(INDEX(Anuncios!$B$6:$B$65,MATCH(C1293,Anuncios!$A$6:$A$65,0)),"(no está en Anuncios)"))</f>
        <v/>
      </c>
      <c r="E1293" s="39" t="n"/>
      <c r="F1293" s="40" t="n"/>
      <c r="G1293" s="40" t="n"/>
      <c r="H1293" s="40" t="n"/>
      <c r="I1293" s="39" t="n"/>
      <c r="J1293" s="13">
        <f>IF(N(F1293)&gt;0,G1293/F1293,"")</f>
        <v/>
      </c>
      <c r="K1293" s="10">
        <f>IF(N(G1293)&gt;0,E1293/G1293,"")</f>
        <v/>
      </c>
      <c r="L1293" s="10">
        <f>IF(N(H1293)&gt;0,E1293/H1293,"")</f>
        <v/>
      </c>
      <c r="M1293" s="11">
        <f>IF(N(E1293)&gt;0,I1293/E1293,"")</f>
        <v/>
      </c>
      <c r="N1293" s="10">
        <f>IF(AND(E1293="",I1293=""),"",N(I1293)*(1-COM-COM_SHOP)-N(E1293)*(1+IMP_META))</f>
        <v/>
      </c>
      <c r="O1293" s="37" t="n"/>
    </row>
    <row r="1294">
      <c r="A1294" s="36" t="n"/>
      <c r="B1294" s="37" t="n"/>
      <c r="C1294" s="37" t="n"/>
      <c r="D1294" s="38">
        <f>IF(C1294="","",IFERROR(INDEX(Anuncios!$B$6:$B$65,MATCH(C1294,Anuncios!$A$6:$A$65,0)),"(no está en Anuncios)"))</f>
        <v/>
      </c>
      <c r="E1294" s="39" t="n"/>
      <c r="F1294" s="40" t="n"/>
      <c r="G1294" s="40" t="n"/>
      <c r="H1294" s="40" t="n"/>
      <c r="I1294" s="39" t="n"/>
      <c r="J1294" s="13">
        <f>IF(N(F1294)&gt;0,G1294/F1294,"")</f>
        <v/>
      </c>
      <c r="K1294" s="10">
        <f>IF(N(G1294)&gt;0,E1294/G1294,"")</f>
        <v/>
      </c>
      <c r="L1294" s="10">
        <f>IF(N(H1294)&gt;0,E1294/H1294,"")</f>
        <v/>
      </c>
      <c r="M1294" s="11">
        <f>IF(N(E1294)&gt;0,I1294/E1294,"")</f>
        <v/>
      </c>
      <c r="N1294" s="10">
        <f>IF(AND(E1294="",I1294=""),"",N(I1294)*(1-COM-COM_SHOP)-N(E1294)*(1+IMP_META))</f>
        <v/>
      </c>
      <c r="O1294" s="37" t="n"/>
    </row>
    <row r="1295">
      <c r="A1295" s="36" t="n"/>
      <c r="B1295" s="37" t="n"/>
      <c r="C1295" s="37" t="n"/>
      <c r="D1295" s="38">
        <f>IF(C1295="","",IFERROR(INDEX(Anuncios!$B$6:$B$65,MATCH(C1295,Anuncios!$A$6:$A$65,0)),"(no está en Anuncios)"))</f>
        <v/>
      </c>
      <c r="E1295" s="39" t="n"/>
      <c r="F1295" s="40" t="n"/>
      <c r="G1295" s="40" t="n"/>
      <c r="H1295" s="40" t="n"/>
      <c r="I1295" s="39" t="n"/>
      <c r="J1295" s="13">
        <f>IF(N(F1295)&gt;0,G1295/F1295,"")</f>
        <v/>
      </c>
      <c r="K1295" s="10">
        <f>IF(N(G1295)&gt;0,E1295/G1295,"")</f>
        <v/>
      </c>
      <c r="L1295" s="10">
        <f>IF(N(H1295)&gt;0,E1295/H1295,"")</f>
        <v/>
      </c>
      <c r="M1295" s="11">
        <f>IF(N(E1295)&gt;0,I1295/E1295,"")</f>
        <v/>
      </c>
      <c r="N1295" s="10">
        <f>IF(AND(E1295="",I1295=""),"",N(I1295)*(1-COM-COM_SHOP)-N(E1295)*(1+IMP_META))</f>
        <v/>
      </c>
      <c r="O1295" s="37" t="n"/>
    </row>
    <row r="1296">
      <c r="A1296" s="36" t="n"/>
      <c r="B1296" s="37" t="n"/>
      <c r="C1296" s="37" t="n"/>
      <c r="D1296" s="38">
        <f>IF(C1296="","",IFERROR(INDEX(Anuncios!$B$6:$B$65,MATCH(C1296,Anuncios!$A$6:$A$65,0)),"(no está en Anuncios)"))</f>
        <v/>
      </c>
      <c r="E1296" s="39" t="n"/>
      <c r="F1296" s="40" t="n"/>
      <c r="G1296" s="40" t="n"/>
      <c r="H1296" s="40" t="n"/>
      <c r="I1296" s="39" t="n"/>
      <c r="J1296" s="13">
        <f>IF(N(F1296)&gt;0,G1296/F1296,"")</f>
        <v/>
      </c>
      <c r="K1296" s="10">
        <f>IF(N(G1296)&gt;0,E1296/G1296,"")</f>
        <v/>
      </c>
      <c r="L1296" s="10">
        <f>IF(N(H1296)&gt;0,E1296/H1296,"")</f>
        <v/>
      </c>
      <c r="M1296" s="11">
        <f>IF(N(E1296)&gt;0,I1296/E1296,"")</f>
        <v/>
      </c>
      <c r="N1296" s="10">
        <f>IF(AND(E1296="",I1296=""),"",N(I1296)*(1-COM-COM_SHOP)-N(E1296)*(1+IMP_META))</f>
        <v/>
      </c>
      <c r="O1296" s="37" t="n"/>
    </row>
    <row r="1297">
      <c r="A1297" s="36" t="n"/>
      <c r="B1297" s="37" t="n"/>
      <c r="C1297" s="37" t="n"/>
      <c r="D1297" s="38">
        <f>IF(C1297="","",IFERROR(INDEX(Anuncios!$B$6:$B$65,MATCH(C1297,Anuncios!$A$6:$A$65,0)),"(no está en Anuncios)"))</f>
        <v/>
      </c>
      <c r="E1297" s="39" t="n"/>
      <c r="F1297" s="40" t="n"/>
      <c r="G1297" s="40" t="n"/>
      <c r="H1297" s="40" t="n"/>
      <c r="I1297" s="39" t="n"/>
      <c r="J1297" s="13">
        <f>IF(N(F1297)&gt;0,G1297/F1297,"")</f>
        <v/>
      </c>
      <c r="K1297" s="10">
        <f>IF(N(G1297)&gt;0,E1297/G1297,"")</f>
        <v/>
      </c>
      <c r="L1297" s="10">
        <f>IF(N(H1297)&gt;0,E1297/H1297,"")</f>
        <v/>
      </c>
      <c r="M1297" s="11">
        <f>IF(N(E1297)&gt;0,I1297/E1297,"")</f>
        <v/>
      </c>
      <c r="N1297" s="10">
        <f>IF(AND(E1297="",I1297=""),"",N(I1297)*(1-COM-COM_SHOP)-N(E1297)*(1+IMP_META))</f>
        <v/>
      </c>
      <c r="O1297" s="37" t="n"/>
    </row>
    <row r="1298">
      <c r="A1298" s="36" t="n"/>
      <c r="B1298" s="37" t="n"/>
      <c r="C1298" s="37" t="n"/>
      <c r="D1298" s="38">
        <f>IF(C1298="","",IFERROR(INDEX(Anuncios!$B$6:$B$65,MATCH(C1298,Anuncios!$A$6:$A$65,0)),"(no está en Anuncios)"))</f>
        <v/>
      </c>
      <c r="E1298" s="39" t="n"/>
      <c r="F1298" s="40" t="n"/>
      <c r="G1298" s="40" t="n"/>
      <c r="H1298" s="40" t="n"/>
      <c r="I1298" s="39" t="n"/>
      <c r="J1298" s="13">
        <f>IF(N(F1298)&gt;0,G1298/F1298,"")</f>
        <v/>
      </c>
      <c r="K1298" s="10">
        <f>IF(N(G1298)&gt;0,E1298/G1298,"")</f>
        <v/>
      </c>
      <c r="L1298" s="10">
        <f>IF(N(H1298)&gt;0,E1298/H1298,"")</f>
        <v/>
      </c>
      <c r="M1298" s="11">
        <f>IF(N(E1298)&gt;0,I1298/E1298,"")</f>
        <v/>
      </c>
      <c r="N1298" s="10">
        <f>IF(AND(E1298="",I1298=""),"",N(I1298)*(1-COM-COM_SHOP)-N(E1298)*(1+IMP_META))</f>
        <v/>
      </c>
      <c r="O1298" s="37" t="n"/>
    </row>
    <row r="1299">
      <c r="A1299" s="36" t="n"/>
      <c r="B1299" s="37" t="n"/>
      <c r="C1299" s="37" t="n"/>
      <c r="D1299" s="38">
        <f>IF(C1299="","",IFERROR(INDEX(Anuncios!$B$6:$B$65,MATCH(C1299,Anuncios!$A$6:$A$65,0)),"(no está en Anuncios)"))</f>
        <v/>
      </c>
      <c r="E1299" s="39" t="n"/>
      <c r="F1299" s="40" t="n"/>
      <c r="G1299" s="40" t="n"/>
      <c r="H1299" s="40" t="n"/>
      <c r="I1299" s="39" t="n"/>
      <c r="J1299" s="13">
        <f>IF(N(F1299)&gt;0,G1299/F1299,"")</f>
        <v/>
      </c>
      <c r="K1299" s="10">
        <f>IF(N(G1299)&gt;0,E1299/G1299,"")</f>
        <v/>
      </c>
      <c r="L1299" s="10">
        <f>IF(N(H1299)&gt;0,E1299/H1299,"")</f>
        <v/>
      </c>
      <c r="M1299" s="11">
        <f>IF(N(E1299)&gt;0,I1299/E1299,"")</f>
        <v/>
      </c>
      <c r="N1299" s="10">
        <f>IF(AND(E1299="",I1299=""),"",N(I1299)*(1-COM-COM_SHOP)-N(E1299)*(1+IMP_META))</f>
        <v/>
      </c>
      <c r="O1299" s="37" t="n"/>
    </row>
    <row r="1300">
      <c r="A1300" s="36" t="n"/>
      <c r="B1300" s="37" t="n"/>
      <c r="C1300" s="37" t="n"/>
      <c r="D1300" s="38">
        <f>IF(C1300="","",IFERROR(INDEX(Anuncios!$B$6:$B$65,MATCH(C1300,Anuncios!$A$6:$A$65,0)),"(no está en Anuncios)"))</f>
        <v/>
      </c>
      <c r="E1300" s="39" t="n"/>
      <c r="F1300" s="40" t="n"/>
      <c r="G1300" s="40" t="n"/>
      <c r="H1300" s="40" t="n"/>
      <c r="I1300" s="39" t="n"/>
      <c r="J1300" s="13">
        <f>IF(N(F1300)&gt;0,G1300/F1300,"")</f>
        <v/>
      </c>
      <c r="K1300" s="10">
        <f>IF(N(G1300)&gt;0,E1300/G1300,"")</f>
        <v/>
      </c>
      <c r="L1300" s="10">
        <f>IF(N(H1300)&gt;0,E1300/H1300,"")</f>
        <v/>
      </c>
      <c r="M1300" s="11">
        <f>IF(N(E1300)&gt;0,I1300/E1300,"")</f>
        <v/>
      </c>
      <c r="N1300" s="10">
        <f>IF(AND(E1300="",I1300=""),"",N(I1300)*(1-COM-COM_SHOP)-N(E1300)*(1+IMP_META))</f>
        <v/>
      </c>
      <c r="O1300" s="37" t="n"/>
    </row>
    <row r="1301">
      <c r="A1301" s="36" t="n"/>
      <c r="B1301" s="37" t="n"/>
      <c r="C1301" s="37" t="n"/>
      <c r="D1301" s="38">
        <f>IF(C1301="","",IFERROR(INDEX(Anuncios!$B$6:$B$65,MATCH(C1301,Anuncios!$A$6:$A$65,0)),"(no está en Anuncios)"))</f>
        <v/>
      </c>
      <c r="E1301" s="39" t="n"/>
      <c r="F1301" s="40" t="n"/>
      <c r="G1301" s="40" t="n"/>
      <c r="H1301" s="40" t="n"/>
      <c r="I1301" s="39" t="n"/>
      <c r="J1301" s="13">
        <f>IF(N(F1301)&gt;0,G1301/F1301,"")</f>
        <v/>
      </c>
      <c r="K1301" s="10">
        <f>IF(N(G1301)&gt;0,E1301/G1301,"")</f>
        <v/>
      </c>
      <c r="L1301" s="10">
        <f>IF(N(H1301)&gt;0,E1301/H1301,"")</f>
        <v/>
      </c>
      <c r="M1301" s="11">
        <f>IF(N(E1301)&gt;0,I1301/E1301,"")</f>
        <v/>
      </c>
      <c r="N1301" s="10">
        <f>IF(AND(E1301="",I1301=""),"",N(I1301)*(1-COM-COM_SHOP)-N(E1301)*(1+IMP_META))</f>
        <v/>
      </c>
      <c r="O1301" s="37" t="n"/>
    </row>
    <row r="1302">
      <c r="A1302" s="36" t="n"/>
      <c r="B1302" s="37" t="n"/>
      <c r="C1302" s="37" t="n"/>
      <c r="D1302" s="38">
        <f>IF(C1302="","",IFERROR(INDEX(Anuncios!$B$6:$B$65,MATCH(C1302,Anuncios!$A$6:$A$65,0)),"(no está en Anuncios)"))</f>
        <v/>
      </c>
      <c r="E1302" s="39" t="n"/>
      <c r="F1302" s="40" t="n"/>
      <c r="G1302" s="40" t="n"/>
      <c r="H1302" s="40" t="n"/>
      <c r="I1302" s="39" t="n"/>
      <c r="J1302" s="13">
        <f>IF(N(F1302)&gt;0,G1302/F1302,"")</f>
        <v/>
      </c>
      <c r="K1302" s="10">
        <f>IF(N(G1302)&gt;0,E1302/G1302,"")</f>
        <v/>
      </c>
      <c r="L1302" s="10">
        <f>IF(N(H1302)&gt;0,E1302/H1302,"")</f>
        <v/>
      </c>
      <c r="M1302" s="11">
        <f>IF(N(E1302)&gt;0,I1302/E1302,"")</f>
        <v/>
      </c>
      <c r="N1302" s="10">
        <f>IF(AND(E1302="",I1302=""),"",N(I1302)*(1-COM-COM_SHOP)-N(E1302)*(1+IMP_META))</f>
        <v/>
      </c>
      <c r="O1302" s="37" t="n"/>
    </row>
    <row r="1303">
      <c r="A1303" s="36" t="n"/>
      <c r="B1303" s="37" t="n"/>
      <c r="C1303" s="37" t="n"/>
      <c r="D1303" s="38">
        <f>IF(C1303="","",IFERROR(INDEX(Anuncios!$B$6:$B$65,MATCH(C1303,Anuncios!$A$6:$A$65,0)),"(no está en Anuncios)"))</f>
        <v/>
      </c>
      <c r="E1303" s="39" t="n"/>
      <c r="F1303" s="40" t="n"/>
      <c r="G1303" s="40" t="n"/>
      <c r="H1303" s="40" t="n"/>
      <c r="I1303" s="39" t="n"/>
      <c r="J1303" s="13">
        <f>IF(N(F1303)&gt;0,G1303/F1303,"")</f>
        <v/>
      </c>
      <c r="K1303" s="10">
        <f>IF(N(G1303)&gt;0,E1303/G1303,"")</f>
        <v/>
      </c>
      <c r="L1303" s="10">
        <f>IF(N(H1303)&gt;0,E1303/H1303,"")</f>
        <v/>
      </c>
      <c r="M1303" s="11">
        <f>IF(N(E1303)&gt;0,I1303/E1303,"")</f>
        <v/>
      </c>
      <c r="N1303" s="10">
        <f>IF(AND(E1303="",I1303=""),"",N(I1303)*(1-COM-COM_SHOP)-N(E1303)*(1+IMP_META))</f>
        <v/>
      </c>
      <c r="O1303" s="37" t="n"/>
    </row>
    <row r="1304">
      <c r="A1304" s="36" t="n"/>
      <c r="B1304" s="37" t="n"/>
      <c r="C1304" s="37" t="n"/>
      <c r="D1304" s="38">
        <f>IF(C1304="","",IFERROR(INDEX(Anuncios!$B$6:$B$65,MATCH(C1304,Anuncios!$A$6:$A$65,0)),"(no está en Anuncios)"))</f>
        <v/>
      </c>
      <c r="E1304" s="39" t="n"/>
      <c r="F1304" s="40" t="n"/>
      <c r="G1304" s="40" t="n"/>
      <c r="H1304" s="40" t="n"/>
      <c r="I1304" s="39" t="n"/>
      <c r="J1304" s="13">
        <f>IF(N(F1304)&gt;0,G1304/F1304,"")</f>
        <v/>
      </c>
      <c r="K1304" s="10">
        <f>IF(N(G1304)&gt;0,E1304/G1304,"")</f>
        <v/>
      </c>
      <c r="L1304" s="10">
        <f>IF(N(H1304)&gt;0,E1304/H1304,"")</f>
        <v/>
      </c>
      <c r="M1304" s="11">
        <f>IF(N(E1304)&gt;0,I1304/E1304,"")</f>
        <v/>
      </c>
      <c r="N1304" s="10">
        <f>IF(AND(E1304="",I1304=""),"",N(I1304)*(1-COM-COM_SHOP)-N(E1304)*(1+IMP_META))</f>
        <v/>
      </c>
      <c r="O1304" s="37" t="n"/>
    </row>
    <row r="1305">
      <c r="A1305" s="36" t="n"/>
      <c r="B1305" s="37" t="n"/>
      <c r="C1305" s="37" t="n"/>
      <c r="D1305" s="38">
        <f>IF(C1305="","",IFERROR(INDEX(Anuncios!$B$6:$B$65,MATCH(C1305,Anuncios!$A$6:$A$65,0)),"(no está en Anuncios)"))</f>
        <v/>
      </c>
      <c r="E1305" s="39" t="n"/>
      <c r="F1305" s="40" t="n"/>
      <c r="G1305" s="40" t="n"/>
      <c r="H1305" s="40" t="n"/>
      <c r="I1305" s="39" t="n"/>
      <c r="J1305" s="13">
        <f>IF(N(F1305)&gt;0,G1305/F1305,"")</f>
        <v/>
      </c>
      <c r="K1305" s="10">
        <f>IF(N(G1305)&gt;0,E1305/G1305,"")</f>
        <v/>
      </c>
      <c r="L1305" s="10">
        <f>IF(N(H1305)&gt;0,E1305/H1305,"")</f>
        <v/>
      </c>
      <c r="M1305" s="11">
        <f>IF(N(E1305)&gt;0,I1305/E1305,"")</f>
        <v/>
      </c>
      <c r="N1305" s="10">
        <f>IF(AND(E1305="",I1305=""),"",N(I1305)*(1-COM-COM_SHOP)-N(E1305)*(1+IMP_META))</f>
        <v/>
      </c>
      <c r="O1305" s="37" t="n"/>
    </row>
    <row r="1306">
      <c r="A1306" s="36" t="n"/>
      <c r="B1306" s="37" t="n"/>
      <c r="C1306" s="37" t="n"/>
      <c r="D1306" s="38">
        <f>IF(C1306="","",IFERROR(INDEX(Anuncios!$B$6:$B$65,MATCH(C1306,Anuncios!$A$6:$A$65,0)),"(no está en Anuncios)"))</f>
        <v/>
      </c>
      <c r="E1306" s="39" t="n"/>
      <c r="F1306" s="40" t="n"/>
      <c r="G1306" s="40" t="n"/>
      <c r="H1306" s="40" t="n"/>
      <c r="I1306" s="39" t="n"/>
      <c r="J1306" s="13">
        <f>IF(N(F1306)&gt;0,G1306/F1306,"")</f>
        <v/>
      </c>
      <c r="K1306" s="10">
        <f>IF(N(G1306)&gt;0,E1306/G1306,"")</f>
        <v/>
      </c>
      <c r="L1306" s="10">
        <f>IF(N(H1306)&gt;0,E1306/H1306,"")</f>
        <v/>
      </c>
      <c r="M1306" s="11">
        <f>IF(N(E1306)&gt;0,I1306/E1306,"")</f>
        <v/>
      </c>
      <c r="N1306" s="10">
        <f>IF(AND(E1306="",I1306=""),"",N(I1306)*(1-COM-COM_SHOP)-N(E1306)*(1+IMP_META))</f>
        <v/>
      </c>
      <c r="O1306" s="37" t="n"/>
    </row>
    <row r="1307">
      <c r="A1307" s="36" t="n"/>
      <c r="B1307" s="37" t="n"/>
      <c r="C1307" s="37" t="n"/>
      <c r="D1307" s="38">
        <f>IF(C1307="","",IFERROR(INDEX(Anuncios!$B$6:$B$65,MATCH(C1307,Anuncios!$A$6:$A$65,0)),"(no está en Anuncios)"))</f>
        <v/>
      </c>
      <c r="E1307" s="39" t="n"/>
      <c r="F1307" s="40" t="n"/>
      <c r="G1307" s="40" t="n"/>
      <c r="H1307" s="40" t="n"/>
      <c r="I1307" s="39" t="n"/>
      <c r="J1307" s="13">
        <f>IF(N(F1307)&gt;0,G1307/F1307,"")</f>
        <v/>
      </c>
      <c r="K1307" s="10">
        <f>IF(N(G1307)&gt;0,E1307/G1307,"")</f>
        <v/>
      </c>
      <c r="L1307" s="10">
        <f>IF(N(H1307)&gt;0,E1307/H1307,"")</f>
        <v/>
      </c>
      <c r="M1307" s="11">
        <f>IF(N(E1307)&gt;0,I1307/E1307,"")</f>
        <v/>
      </c>
      <c r="N1307" s="10">
        <f>IF(AND(E1307="",I1307=""),"",N(I1307)*(1-COM-COM_SHOP)-N(E1307)*(1+IMP_META))</f>
        <v/>
      </c>
      <c r="O1307" s="37" t="n"/>
    </row>
    <row r="1308">
      <c r="A1308" s="36" t="n"/>
      <c r="B1308" s="37" t="n"/>
      <c r="C1308" s="37" t="n"/>
      <c r="D1308" s="38">
        <f>IF(C1308="","",IFERROR(INDEX(Anuncios!$B$6:$B$65,MATCH(C1308,Anuncios!$A$6:$A$65,0)),"(no está en Anuncios)"))</f>
        <v/>
      </c>
      <c r="E1308" s="39" t="n"/>
      <c r="F1308" s="40" t="n"/>
      <c r="G1308" s="40" t="n"/>
      <c r="H1308" s="40" t="n"/>
      <c r="I1308" s="39" t="n"/>
      <c r="J1308" s="13">
        <f>IF(N(F1308)&gt;0,G1308/F1308,"")</f>
        <v/>
      </c>
      <c r="K1308" s="10">
        <f>IF(N(G1308)&gt;0,E1308/G1308,"")</f>
        <v/>
      </c>
      <c r="L1308" s="10">
        <f>IF(N(H1308)&gt;0,E1308/H1308,"")</f>
        <v/>
      </c>
      <c r="M1308" s="11">
        <f>IF(N(E1308)&gt;0,I1308/E1308,"")</f>
        <v/>
      </c>
      <c r="N1308" s="10">
        <f>IF(AND(E1308="",I1308=""),"",N(I1308)*(1-COM-COM_SHOP)-N(E1308)*(1+IMP_META))</f>
        <v/>
      </c>
      <c r="O1308" s="37" t="n"/>
    </row>
    <row r="1309">
      <c r="A1309" s="36" t="n"/>
      <c r="B1309" s="37" t="n"/>
      <c r="C1309" s="37" t="n"/>
      <c r="D1309" s="38">
        <f>IF(C1309="","",IFERROR(INDEX(Anuncios!$B$6:$B$65,MATCH(C1309,Anuncios!$A$6:$A$65,0)),"(no está en Anuncios)"))</f>
        <v/>
      </c>
      <c r="E1309" s="39" t="n"/>
      <c r="F1309" s="40" t="n"/>
      <c r="G1309" s="40" t="n"/>
      <c r="H1309" s="40" t="n"/>
      <c r="I1309" s="39" t="n"/>
      <c r="J1309" s="13">
        <f>IF(N(F1309)&gt;0,G1309/F1309,"")</f>
        <v/>
      </c>
      <c r="K1309" s="10">
        <f>IF(N(G1309)&gt;0,E1309/G1309,"")</f>
        <v/>
      </c>
      <c r="L1309" s="10">
        <f>IF(N(H1309)&gt;0,E1309/H1309,"")</f>
        <v/>
      </c>
      <c r="M1309" s="11">
        <f>IF(N(E1309)&gt;0,I1309/E1309,"")</f>
        <v/>
      </c>
      <c r="N1309" s="10">
        <f>IF(AND(E1309="",I1309=""),"",N(I1309)*(1-COM-COM_SHOP)-N(E1309)*(1+IMP_META))</f>
        <v/>
      </c>
      <c r="O1309" s="37" t="n"/>
    </row>
    <row r="1310">
      <c r="A1310" s="36" t="n"/>
      <c r="B1310" s="37" t="n"/>
      <c r="C1310" s="37" t="n"/>
      <c r="D1310" s="38">
        <f>IF(C1310="","",IFERROR(INDEX(Anuncios!$B$6:$B$65,MATCH(C1310,Anuncios!$A$6:$A$65,0)),"(no está en Anuncios)"))</f>
        <v/>
      </c>
      <c r="E1310" s="39" t="n"/>
      <c r="F1310" s="40" t="n"/>
      <c r="G1310" s="40" t="n"/>
      <c r="H1310" s="40" t="n"/>
      <c r="I1310" s="39" t="n"/>
      <c r="J1310" s="13">
        <f>IF(N(F1310)&gt;0,G1310/F1310,"")</f>
        <v/>
      </c>
      <c r="K1310" s="10">
        <f>IF(N(G1310)&gt;0,E1310/G1310,"")</f>
        <v/>
      </c>
      <c r="L1310" s="10">
        <f>IF(N(H1310)&gt;0,E1310/H1310,"")</f>
        <v/>
      </c>
      <c r="M1310" s="11">
        <f>IF(N(E1310)&gt;0,I1310/E1310,"")</f>
        <v/>
      </c>
      <c r="N1310" s="10">
        <f>IF(AND(E1310="",I1310=""),"",N(I1310)*(1-COM-COM_SHOP)-N(E1310)*(1+IMP_META))</f>
        <v/>
      </c>
      <c r="O1310" s="37" t="n"/>
    </row>
    <row r="1311">
      <c r="A1311" s="36" t="n"/>
      <c r="B1311" s="37" t="n"/>
      <c r="C1311" s="37" t="n"/>
      <c r="D1311" s="38">
        <f>IF(C1311="","",IFERROR(INDEX(Anuncios!$B$6:$B$65,MATCH(C1311,Anuncios!$A$6:$A$65,0)),"(no está en Anuncios)"))</f>
        <v/>
      </c>
      <c r="E1311" s="39" t="n"/>
      <c r="F1311" s="40" t="n"/>
      <c r="G1311" s="40" t="n"/>
      <c r="H1311" s="40" t="n"/>
      <c r="I1311" s="39" t="n"/>
      <c r="J1311" s="13">
        <f>IF(N(F1311)&gt;0,G1311/F1311,"")</f>
        <v/>
      </c>
      <c r="K1311" s="10">
        <f>IF(N(G1311)&gt;0,E1311/G1311,"")</f>
        <v/>
      </c>
      <c r="L1311" s="10">
        <f>IF(N(H1311)&gt;0,E1311/H1311,"")</f>
        <v/>
      </c>
      <c r="M1311" s="11">
        <f>IF(N(E1311)&gt;0,I1311/E1311,"")</f>
        <v/>
      </c>
      <c r="N1311" s="10">
        <f>IF(AND(E1311="",I1311=""),"",N(I1311)*(1-COM-COM_SHOP)-N(E1311)*(1+IMP_META))</f>
        <v/>
      </c>
      <c r="O1311" s="37" t="n"/>
    </row>
    <row r="1312">
      <c r="A1312" s="36" t="n"/>
      <c r="B1312" s="37" t="n"/>
      <c r="C1312" s="37" t="n"/>
      <c r="D1312" s="38">
        <f>IF(C1312="","",IFERROR(INDEX(Anuncios!$B$6:$B$65,MATCH(C1312,Anuncios!$A$6:$A$65,0)),"(no está en Anuncios)"))</f>
        <v/>
      </c>
      <c r="E1312" s="39" t="n"/>
      <c r="F1312" s="40" t="n"/>
      <c r="G1312" s="40" t="n"/>
      <c r="H1312" s="40" t="n"/>
      <c r="I1312" s="39" t="n"/>
      <c r="J1312" s="13">
        <f>IF(N(F1312)&gt;0,G1312/F1312,"")</f>
        <v/>
      </c>
      <c r="K1312" s="10">
        <f>IF(N(G1312)&gt;0,E1312/G1312,"")</f>
        <v/>
      </c>
      <c r="L1312" s="10">
        <f>IF(N(H1312)&gt;0,E1312/H1312,"")</f>
        <v/>
      </c>
      <c r="M1312" s="11">
        <f>IF(N(E1312)&gt;0,I1312/E1312,"")</f>
        <v/>
      </c>
      <c r="N1312" s="10">
        <f>IF(AND(E1312="",I1312=""),"",N(I1312)*(1-COM-COM_SHOP)-N(E1312)*(1+IMP_META))</f>
        <v/>
      </c>
      <c r="O1312" s="37" t="n"/>
    </row>
    <row r="1313">
      <c r="A1313" s="36" t="n"/>
      <c r="B1313" s="37" t="n"/>
      <c r="C1313" s="37" t="n"/>
      <c r="D1313" s="38">
        <f>IF(C1313="","",IFERROR(INDEX(Anuncios!$B$6:$B$65,MATCH(C1313,Anuncios!$A$6:$A$65,0)),"(no está en Anuncios)"))</f>
        <v/>
      </c>
      <c r="E1313" s="39" t="n"/>
      <c r="F1313" s="40" t="n"/>
      <c r="G1313" s="40" t="n"/>
      <c r="H1313" s="40" t="n"/>
      <c r="I1313" s="39" t="n"/>
      <c r="J1313" s="13">
        <f>IF(N(F1313)&gt;0,G1313/F1313,"")</f>
        <v/>
      </c>
      <c r="K1313" s="10">
        <f>IF(N(G1313)&gt;0,E1313/G1313,"")</f>
        <v/>
      </c>
      <c r="L1313" s="10">
        <f>IF(N(H1313)&gt;0,E1313/H1313,"")</f>
        <v/>
      </c>
      <c r="M1313" s="11">
        <f>IF(N(E1313)&gt;0,I1313/E1313,"")</f>
        <v/>
      </c>
      <c r="N1313" s="10">
        <f>IF(AND(E1313="",I1313=""),"",N(I1313)*(1-COM-COM_SHOP)-N(E1313)*(1+IMP_META))</f>
        <v/>
      </c>
      <c r="O1313" s="37" t="n"/>
    </row>
    <row r="1314">
      <c r="A1314" s="36" t="n"/>
      <c r="B1314" s="37" t="n"/>
      <c r="C1314" s="37" t="n"/>
      <c r="D1314" s="38">
        <f>IF(C1314="","",IFERROR(INDEX(Anuncios!$B$6:$B$65,MATCH(C1314,Anuncios!$A$6:$A$65,0)),"(no está en Anuncios)"))</f>
        <v/>
      </c>
      <c r="E1314" s="39" t="n"/>
      <c r="F1314" s="40" t="n"/>
      <c r="G1314" s="40" t="n"/>
      <c r="H1314" s="40" t="n"/>
      <c r="I1314" s="39" t="n"/>
      <c r="J1314" s="13">
        <f>IF(N(F1314)&gt;0,G1314/F1314,"")</f>
        <v/>
      </c>
      <c r="K1314" s="10">
        <f>IF(N(G1314)&gt;0,E1314/G1314,"")</f>
        <v/>
      </c>
      <c r="L1314" s="10">
        <f>IF(N(H1314)&gt;0,E1314/H1314,"")</f>
        <v/>
      </c>
      <c r="M1314" s="11">
        <f>IF(N(E1314)&gt;0,I1314/E1314,"")</f>
        <v/>
      </c>
      <c r="N1314" s="10">
        <f>IF(AND(E1314="",I1314=""),"",N(I1314)*(1-COM-COM_SHOP)-N(E1314)*(1+IMP_META))</f>
        <v/>
      </c>
      <c r="O1314" s="37" t="n"/>
    </row>
    <row r="1315">
      <c r="A1315" s="36" t="n"/>
      <c r="B1315" s="37" t="n"/>
      <c r="C1315" s="37" t="n"/>
      <c r="D1315" s="38">
        <f>IF(C1315="","",IFERROR(INDEX(Anuncios!$B$6:$B$65,MATCH(C1315,Anuncios!$A$6:$A$65,0)),"(no está en Anuncios)"))</f>
        <v/>
      </c>
      <c r="E1315" s="39" t="n"/>
      <c r="F1315" s="40" t="n"/>
      <c r="G1315" s="40" t="n"/>
      <c r="H1315" s="40" t="n"/>
      <c r="I1315" s="39" t="n"/>
      <c r="J1315" s="13">
        <f>IF(N(F1315)&gt;0,G1315/F1315,"")</f>
        <v/>
      </c>
      <c r="K1315" s="10">
        <f>IF(N(G1315)&gt;0,E1315/G1315,"")</f>
        <v/>
      </c>
      <c r="L1315" s="10">
        <f>IF(N(H1315)&gt;0,E1315/H1315,"")</f>
        <v/>
      </c>
      <c r="M1315" s="11">
        <f>IF(N(E1315)&gt;0,I1315/E1315,"")</f>
        <v/>
      </c>
      <c r="N1315" s="10">
        <f>IF(AND(E1315="",I1315=""),"",N(I1315)*(1-COM-COM_SHOP)-N(E1315)*(1+IMP_META))</f>
        <v/>
      </c>
      <c r="O1315" s="37" t="n"/>
    </row>
    <row r="1316">
      <c r="A1316" s="36" t="n"/>
      <c r="B1316" s="37" t="n"/>
      <c r="C1316" s="37" t="n"/>
      <c r="D1316" s="38">
        <f>IF(C1316="","",IFERROR(INDEX(Anuncios!$B$6:$B$65,MATCH(C1316,Anuncios!$A$6:$A$65,0)),"(no está en Anuncios)"))</f>
        <v/>
      </c>
      <c r="E1316" s="39" t="n"/>
      <c r="F1316" s="40" t="n"/>
      <c r="G1316" s="40" t="n"/>
      <c r="H1316" s="40" t="n"/>
      <c r="I1316" s="39" t="n"/>
      <c r="J1316" s="13">
        <f>IF(N(F1316)&gt;0,G1316/F1316,"")</f>
        <v/>
      </c>
      <c r="K1316" s="10">
        <f>IF(N(G1316)&gt;0,E1316/G1316,"")</f>
        <v/>
      </c>
      <c r="L1316" s="10">
        <f>IF(N(H1316)&gt;0,E1316/H1316,"")</f>
        <v/>
      </c>
      <c r="M1316" s="11">
        <f>IF(N(E1316)&gt;0,I1316/E1316,"")</f>
        <v/>
      </c>
      <c r="N1316" s="10">
        <f>IF(AND(E1316="",I1316=""),"",N(I1316)*(1-COM-COM_SHOP)-N(E1316)*(1+IMP_META))</f>
        <v/>
      </c>
      <c r="O1316" s="37" t="n"/>
    </row>
    <row r="1317">
      <c r="A1317" s="36" t="n"/>
      <c r="B1317" s="37" t="n"/>
      <c r="C1317" s="37" t="n"/>
      <c r="D1317" s="38">
        <f>IF(C1317="","",IFERROR(INDEX(Anuncios!$B$6:$B$65,MATCH(C1317,Anuncios!$A$6:$A$65,0)),"(no está en Anuncios)"))</f>
        <v/>
      </c>
      <c r="E1317" s="39" t="n"/>
      <c r="F1317" s="40" t="n"/>
      <c r="G1317" s="40" t="n"/>
      <c r="H1317" s="40" t="n"/>
      <c r="I1317" s="39" t="n"/>
      <c r="J1317" s="13">
        <f>IF(N(F1317)&gt;0,G1317/F1317,"")</f>
        <v/>
      </c>
      <c r="K1317" s="10">
        <f>IF(N(G1317)&gt;0,E1317/G1317,"")</f>
        <v/>
      </c>
      <c r="L1317" s="10">
        <f>IF(N(H1317)&gt;0,E1317/H1317,"")</f>
        <v/>
      </c>
      <c r="M1317" s="11">
        <f>IF(N(E1317)&gt;0,I1317/E1317,"")</f>
        <v/>
      </c>
      <c r="N1317" s="10">
        <f>IF(AND(E1317="",I1317=""),"",N(I1317)*(1-COM-COM_SHOP)-N(E1317)*(1+IMP_META))</f>
        <v/>
      </c>
      <c r="O1317" s="37" t="n"/>
    </row>
    <row r="1318">
      <c r="A1318" s="36" t="n"/>
      <c r="B1318" s="37" t="n"/>
      <c r="C1318" s="37" t="n"/>
      <c r="D1318" s="38">
        <f>IF(C1318="","",IFERROR(INDEX(Anuncios!$B$6:$B$65,MATCH(C1318,Anuncios!$A$6:$A$65,0)),"(no está en Anuncios)"))</f>
        <v/>
      </c>
      <c r="E1318" s="39" t="n"/>
      <c r="F1318" s="40" t="n"/>
      <c r="G1318" s="40" t="n"/>
      <c r="H1318" s="40" t="n"/>
      <c r="I1318" s="39" t="n"/>
      <c r="J1318" s="13">
        <f>IF(N(F1318)&gt;0,G1318/F1318,"")</f>
        <v/>
      </c>
      <c r="K1318" s="10">
        <f>IF(N(G1318)&gt;0,E1318/G1318,"")</f>
        <v/>
      </c>
      <c r="L1318" s="10">
        <f>IF(N(H1318)&gt;0,E1318/H1318,"")</f>
        <v/>
      </c>
      <c r="M1318" s="11">
        <f>IF(N(E1318)&gt;0,I1318/E1318,"")</f>
        <v/>
      </c>
      <c r="N1318" s="10">
        <f>IF(AND(E1318="",I1318=""),"",N(I1318)*(1-COM-COM_SHOP)-N(E1318)*(1+IMP_META))</f>
        <v/>
      </c>
      <c r="O1318" s="37" t="n"/>
    </row>
    <row r="1319">
      <c r="A1319" s="36" t="n"/>
      <c r="B1319" s="37" t="n"/>
      <c r="C1319" s="37" t="n"/>
      <c r="D1319" s="38">
        <f>IF(C1319="","",IFERROR(INDEX(Anuncios!$B$6:$B$65,MATCH(C1319,Anuncios!$A$6:$A$65,0)),"(no está en Anuncios)"))</f>
        <v/>
      </c>
      <c r="E1319" s="39" t="n"/>
      <c r="F1319" s="40" t="n"/>
      <c r="G1319" s="40" t="n"/>
      <c r="H1319" s="40" t="n"/>
      <c r="I1319" s="39" t="n"/>
      <c r="J1319" s="13">
        <f>IF(N(F1319)&gt;0,G1319/F1319,"")</f>
        <v/>
      </c>
      <c r="K1319" s="10">
        <f>IF(N(G1319)&gt;0,E1319/G1319,"")</f>
        <v/>
      </c>
      <c r="L1319" s="10">
        <f>IF(N(H1319)&gt;0,E1319/H1319,"")</f>
        <v/>
      </c>
      <c r="M1319" s="11">
        <f>IF(N(E1319)&gt;0,I1319/E1319,"")</f>
        <v/>
      </c>
      <c r="N1319" s="10">
        <f>IF(AND(E1319="",I1319=""),"",N(I1319)*(1-COM-COM_SHOP)-N(E1319)*(1+IMP_META))</f>
        <v/>
      </c>
      <c r="O1319" s="37" t="n"/>
    </row>
    <row r="1320">
      <c r="A1320" s="36" t="n"/>
      <c r="B1320" s="37" t="n"/>
      <c r="C1320" s="37" t="n"/>
      <c r="D1320" s="38">
        <f>IF(C1320="","",IFERROR(INDEX(Anuncios!$B$6:$B$65,MATCH(C1320,Anuncios!$A$6:$A$65,0)),"(no está en Anuncios)"))</f>
        <v/>
      </c>
      <c r="E1320" s="39" t="n"/>
      <c r="F1320" s="40" t="n"/>
      <c r="G1320" s="40" t="n"/>
      <c r="H1320" s="40" t="n"/>
      <c r="I1320" s="39" t="n"/>
      <c r="J1320" s="13">
        <f>IF(N(F1320)&gt;0,G1320/F1320,"")</f>
        <v/>
      </c>
      <c r="K1320" s="10">
        <f>IF(N(G1320)&gt;0,E1320/G1320,"")</f>
        <v/>
      </c>
      <c r="L1320" s="10">
        <f>IF(N(H1320)&gt;0,E1320/H1320,"")</f>
        <v/>
      </c>
      <c r="M1320" s="11">
        <f>IF(N(E1320)&gt;0,I1320/E1320,"")</f>
        <v/>
      </c>
      <c r="N1320" s="10">
        <f>IF(AND(E1320="",I1320=""),"",N(I1320)*(1-COM-COM_SHOP)-N(E1320)*(1+IMP_META))</f>
        <v/>
      </c>
      <c r="O1320" s="37" t="n"/>
    </row>
    <row r="1321">
      <c r="A1321" s="36" t="n"/>
      <c r="B1321" s="37" t="n"/>
      <c r="C1321" s="37" t="n"/>
      <c r="D1321" s="38">
        <f>IF(C1321="","",IFERROR(INDEX(Anuncios!$B$6:$B$65,MATCH(C1321,Anuncios!$A$6:$A$65,0)),"(no está en Anuncios)"))</f>
        <v/>
      </c>
      <c r="E1321" s="39" t="n"/>
      <c r="F1321" s="40" t="n"/>
      <c r="G1321" s="40" t="n"/>
      <c r="H1321" s="40" t="n"/>
      <c r="I1321" s="39" t="n"/>
      <c r="J1321" s="13">
        <f>IF(N(F1321)&gt;0,G1321/F1321,"")</f>
        <v/>
      </c>
      <c r="K1321" s="10">
        <f>IF(N(G1321)&gt;0,E1321/G1321,"")</f>
        <v/>
      </c>
      <c r="L1321" s="10">
        <f>IF(N(H1321)&gt;0,E1321/H1321,"")</f>
        <v/>
      </c>
      <c r="M1321" s="11">
        <f>IF(N(E1321)&gt;0,I1321/E1321,"")</f>
        <v/>
      </c>
      <c r="N1321" s="10">
        <f>IF(AND(E1321="",I1321=""),"",N(I1321)*(1-COM-COM_SHOP)-N(E1321)*(1+IMP_META))</f>
        <v/>
      </c>
      <c r="O1321" s="37" t="n"/>
    </row>
    <row r="1322">
      <c r="A1322" s="36" t="n"/>
      <c r="B1322" s="37" t="n"/>
      <c r="C1322" s="37" t="n"/>
      <c r="D1322" s="38">
        <f>IF(C1322="","",IFERROR(INDEX(Anuncios!$B$6:$B$65,MATCH(C1322,Anuncios!$A$6:$A$65,0)),"(no está en Anuncios)"))</f>
        <v/>
      </c>
      <c r="E1322" s="39" t="n"/>
      <c r="F1322" s="40" t="n"/>
      <c r="G1322" s="40" t="n"/>
      <c r="H1322" s="40" t="n"/>
      <c r="I1322" s="39" t="n"/>
      <c r="J1322" s="13">
        <f>IF(N(F1322)&gt;0,G1322/F1322,"")</f>
        <v/>
      </c>
      <c r="K1322" s="10">
        <f>IF(N(G1322)&gt;0,E1322/G1322,"")</f>
        <v/>
      </c>
      <c r="L1322" s="10">
        <f>IF(N(H1322)&gt;0,E1322/H1322,"")</f>
        <v/>
      </c>
      <c r="M1322" s="11">
        <f>IF(N(E1322)&gt;0,I1322/E1322,"")</f>
        <v/>
      </c>
      <c r="N1322" s="10">
        <f>IF(AND(E1322="",I1322=""),"",N(I1322)*(1-COM-COM_SHOP)-N(E1322)*(1+IMP_META))</f>
        <v/>
      </c>
      <c r="O1322" s="37" t="n"/>
    </row>
    <row r="1323">
      <c r="A1323" s="36" t="n"/>
      <c r="B1323" s="37" t="n"/>
      <c r="C1323" s="37" t="n"/>
      <c r="D1323" s="38">
        <f>IF(C1323="","",IFERROR(INDEX(Anuncios!$B$6:$B$65,MATCH(C1323,Anuncios!$A$6:$A$65,0)),"(no está en Anuncios)"))</f>
        <v/>
      </c>
      <c r="E1323" s="39" t="n"/>
      <c r="F1323" s="40" t="n"/>
      <c r="G1323" s="40" t="n"/>
      <c r="H1323" s="40" t="n"/>
      <c r="I1323" s="39" t="n"/>
      <c r="J1323" s="13">
        <f>IF(N(F1323)&gt;0,G1323/F1323,"")</f>
        <v/>
      </c>
      <c r="K1323" s="10">
        <f>IF(N(G1323)&gt;0,E1323/G1323,"")</f>
        <v/>
      </c>
      <c r="L1323" s="10">
        <f>IF(N(H1323)&gt;0,E1323/H1323,"")</f>
        <v/>
      </c>
      <c r="M1323" s="11">
        <f>IF(N(E1323)&gt;0,I1323/E1323,"")</f>
        <v/>
      </c>
      <c r="N1323" s="10">
        <f>IF(AND(E1323="",I1323=""),"",N(I1323)*(1-COM-COM_SHOP)-N(E1323)*(1+IMP_META))</f>
        <v/>
      </c>
      <c r="O1323" s="37" t="n"/>
    </row>
    <row r="1324">
      <c r="A1324" s="36" t="n"/>
      <c r="B1324" s="37" t="n"/>
      <c r="C1324" s="37" t="n"/>
      <c r="D1324" s="38">
        <f>IF(C1324="","",IFERROR(INDEX(Anuncios!$B$6:$B$65,MATCH(C1324,Anuncios!$A$6:$A$65,0)),"(no está en Anuncios)"))</f>
        <v/>
      </c>
      <c r="E1324" s="39" t="n"/>
      <c r="F1324" s="40" t="n"/>
      <c r="G1324" s="40" t="n"/>
      <c r="H1324" s="40" t="n"/>
      <c r="I1324" s="39" t="n"/>
      <c r="J1324" s="13">
        <f>IF(N(F1324)&gt;0,G1324/F1324,"")</f>
        <v/>
      </c>
      <c r="K1324" s="10">
        <f>IF(N(G1324)&gt;0,E1324/G1324,"")</f>
        <v/>
      </c>
      <c r="L1324" s="10">
        <f>IF(N(H1324)&gt;0,E1324/H1324,"")</f>
        <v/>
      </c>
      <c r="M1324" s="11">
        <f>IF(N(E1324)&gt;0,I1324/E1324,"")</f>
        <v/>
      </c>
      <c r="N1324" s="10">
        <f>IF(AND(E1324="",I1324=""),"",N(I1324)*(1-COM-COM_SHOP)-N(E1324)*(1+IMP_META))</f>
        <v/>
      </c>
      <c r="O1324" s="37" t="n"/>
    </row>
    <row r="1325">
      <c r="A1325" s="36" t="n"/>
      <c r="B1325" s="37" t="n"/>
      <c r="C1325" s="37" t="n"/>
      <c r="D1325" s="38">
        <f>IF(C1325="","",IFERROR(INDEX(Anuncios!$B$6:$B$65,MATCH(C1325,Anuncios!$A$6:$A$65,0)),"(no está en Anuncios)"))</f>
        <v/>
      </c>
      <c r="E1325" s="39" t="n"/>
      <c r="F1325" s="40" t="n"/>
      <c r="G1325" s="40" t="n"/>
      <c r="H1325" s="40" t="n"/>
      <c r="I1325" s="39" t="n"/>
      <c r="J1325" s="13">
        <f>IF(N(F1325)&gt;0,G1325/F1325,"")</f>
        <v/>
      </c>
      <c r="K1325" s="10">
        <f>IF(N(G1325)&gt;0,E1325/G1325,"")</f>
        <v/>
      </c>
      <c r="L1325" s="10">
        <f>IF(N(H1325)&gt;0,E1325/H1325,"")</f>
        <v/>
      </c>
      <c r="M1325" s="11">
        <f>IF(N(E1325)&gt;0,I1325/E1325,"")</f>
        <v/>
      </c>
      <c r="N1325" s="10">
        <f>IF(AND(E1325="",I1325=""),"",N(I1325)*(1-COM-COM_SHOP)-N(E1325)*(1+IMP_META))</f>
        <v/>
      </c>
      <c r="O1325" s="37" t="n"/>
    </row>
    <row r="1326">
      <c r="A1326" s="36" t="n"/>
      <c r="B1326" s="37" t="n"/>
      <c r="C1326" s="37" t="n"/>
      <c r="D1326" s="38">
        <f>IF(C1326="","",IFERROR(INDEX(Anuncios!$B$6:$B$65,MATCH(C1326,Anuncios!$A$6:$A$65,0)),"(no está en Anuncios)"))</f>
        <v/>
      </c>
      <c r="E1326" s="39" t="n"/>
      <c r="F1326" s="40" t="n"/>
      <c r="G1326" s="40" t="n"/>
      <c r="H1326" s="40" t="n"/>
      <c r="I1326" s="39" t="n"/>
      <c r="J1326" s="13">
        <f>IF(N(F1326)&gt;0,G1326/F1326,"")</f>
        <v/>
      </c>
      <c r="K1326" s="10">
        <f>IF(N(G1326)&gt;0,E1326/G1326,"")</f>
        <v/>
      </c>
      <c r="L1326" s="10">
        <f>IF(N(H1326)&gt;0,E1326/H1326,"")</f>
        <v/>
      </c>
      <c r="M1326" s="11">
        <f>IF(N(E1326)&gt;0,I1326/E1326,"")</f>
        <v/>
      </c>
      <c r="N1326" s="10">
        <f>IF(AND(E1326="",I1326=""),"",N(I1326)*(1-COM-COM_SHOP)-N(E1326)*(1+IMP_META))</f>
        <v/>
      </c>
      <c r="O1326" s="37" t="n"/>
    </row>
    <row r="1327">
      <c r="A1327" s="36" t="n"/>
      <c r="B1327" s="37" t="n"/>
      <c r="C1327" s="37" t="n"/>
      <c r="D1327" s="38">
        <f>IF(C1327="","",IFERROR(INDEX(Anuncios!$B$6:$B$65,MATCH(C1327,Anuncios!$A$6:$A$65,0)),"(no está en Anuncios)"))</f>
        <v/>
      </c>
      <c r="E1327" s="39" t="n"/>
      <c r="F1327" s="40" t="n"/>
      <c r="G1327" s="40" t="n"/>
      <c r="H1327" s="40" t="n"/>
      <c r="I1327" s="39" t="n"/>
      <c r="J1327" s="13">
        <f>IF(N(F1327)&gt;0,G1327/F1327,"")</f>
        <v/>
      </c>
      <c r="K1327" s="10">
        <f>IF(N(G1327)&gt;0,E1327/G1327,"")</f>
        <v/>
      </c>
      <c r="L1327" s="10">
        <f>IF(N(H1327)&gt;0,E1327/H1327,"")</f>
        <v/>
      </c>
      <c r="M1327" s="11">
        <f>IF(N(E1327)&gt;0,I1327/E1327,"")</f>
        <v/>
      </c>
      <c r="N1327" s="10">
        <f>IF(AND(E1327="",I1327=""),"",N(I1327)*(1-COM-COM_SHOP)-N(E1327)*(1+IMP_META))</f>
        <v/>
      </c>
      <c r="O1327" s="37" t="n"/>
    </row>
    <row r="1328">
      <c r="A1328" s="36" t="n"/>
      <c r="B1328" s="37" t="n"/>
      <c r="C1328" s="37" t="n"/>
      <c r="D1328" s="38">
        <f>IF(C1328="","",IFERROR(INDEX(Anuncios!$B$6:$B$65,MATCH(C1328,Anuncios!$A$6:$A$65,0)),"(no está en Anuncios)"))</f>
        <v/>
      </c>
      <c r="E1328" s="39" t="n"/>
      <c r="F1328" s="40" t="n"/>
      <c r="G1328" s="40" t="n"/>
      <c r="H1328" s="40" t="n"/>
      <c r="I1328" s="39" t="n"/>
      <c r="J1328" s="13">
        <f>IF(N(F1328)&gt;0,G1328/F1328,"")</f>
        <v/>
      </c>
      <c r="K1328" s="10">
        <f>IF(N(G1328)&gt;0,E1328/G1328,"")</f>
        <v/>
      </c>
      <c r="L1328" s="10">
        <f>IF(N(H1328)&gt;0,E1328/H1328,"")</f>
        <v/>
      </c>
      <c r="M1328" s="11">
        <f>IF(N(E1328)&gt;0,I1328/E1328,"")</f>
        <v/>
      </c>
      <c r="N1328" s="10">
        <f>IF(AND(E1328="",I1328=""),"",N(I1328)*(1-COM-COM_SHOP)-N(E1328)*(1+IMP_META))</f>
        <v/>
      </c>
      <c r="O1328" s="37" t="n"/>
    </row>
    <row r="1329">
      <c r="A1329" s="36" t="n"/>
      <c r="B1329" s="37" t="n"/>
      <c r="C1329" s="37" t="n"/>
      <c r="D1329" s="38">
        <f>IF(C1329="","",IFERROR(INDEX(Anuncios!$B$6:$B$65,MATCH(C1329,Anuncios!$A$6:$A$65,0)),"(no está en Anuncios)"))</f>
        <v/>
      </c>
      <c r="E1329" s="39" t="n"/>
      <c r="F1329" s="40" t="n"/>
      <c r="G1329" s="40" t="n"/>
      <c r="H1329" s="40" t="n"/>
      <c r="I1329" s="39" t="n"/>
      <c r="J1329" s="13">
        <f>IF(N(F1329)&gt;0,G1329/F1329,"")</f>
        <v/>
      </c>
      <c r="K1329" s="10">
        <f>IF(N(G1329)&gt;0,E1329/G1329,"")</f>
        <v/>
      </c>
      <c r="L1329" s="10">
        <f>IF(N(H1329)&gt;0,E1329/H1329,"")</f>
        <v/>
      </c>
      <c r="M1329" s="11">
        <f>IF(N(E1329)&gt;0,I1329/E1329,"")</f>
        <v/>
      </c>
      <c r="N1329" s="10">
        <f>IF(AND(E1329="",I1329=""),"",N(I1329)*(1-COM-COM_SHOP)-N(E1329)*(1+IMP_META))</f>
        <v/>
      </c>
      <c r="O1329" s="37" t="n"/>
    </row>
    <row r="1330">
      <c r="A1330" s="36" t="n"/>
      <c r="B1330" s="37" t="n"/>
      <c r="C1330" s="37" t="n"/>
      <c r="D1330" s="38">
        <f>IF(C1330="","",IFERROR(INDEX(Anuncios!$B$6:$B$65,MATCH(C1330,Anuncios!$A$6:$A$65,0)),"(no está en Anuncios)"))</f>
        <v/>
      </c>
      <c r="E1330" s="39" t="n"/>
      <c r="F1330" s="40" t="n"/>
      <c r="G1330" s="40" t="n"/>
      <c r="H1330" s="40" t="n"/>
      <c r="I1330" s="39" t="n"/>
      <c r="J1330" s="13">
        <f>IF(N(F1330)&gt;0,G1330/F1330,"")</f>
        <v/>
      </c>
      <c r="K1330" s="10">
        <f>IF(N(G1330)&gt;0,E1330/G1330,"")</f>
        <v/>
      </c>
      <c r="L1330" s="10">
        <f>IF(N(H1330)&gt;0,E1330/H1330,"")</f>
        <v/>
      </c>
      <c r="M1330" s="11">
        <f>IF(N(E1330)&gt;0,I1330/E1330,"")</f>
        <v/>
      </c>
      <c r="N1330" s="10">
        <f>IF(AND(E1330="",I1330=""),"",N(I1330)*(1-COM-COM_SHOP)-N(E1330)*(1+IMP_META))</f>
        <v/>
      </c>
      <c r="O1330" s="37" t="n"/>
    </row>
    <row r="1331">
      <c r="A1331" s="36" t="n"/>
      <c r="B1331" s="37" t="n"/>
      <c r="C1331" s="37" t="n"/>
      <c r="D1331" s="38">
        <f>IF(C1331="","",IFERROR(INDEX(Anuncios!$B$6:$B$65,MATCH(C1331,Anuncios!$A$6:$A$65,0)),"(no está en Anuncios)"))</f>
        <v/>
      </c>
      <c r="E1331" s="39" t="n"/>
      <c r="F1331" s="40" t="n"/>
      <c r="G1331" s="40" t="n"/>
      <c r="H1331" s="40" t="n"/>
      <c r="I1331" s="39" t="n"/>
      <c r="J1331" s="13">
        <f>IF(N(F1331)&gt;0,G1331/F1331,"")</f>
        <v/>
      </c>
      <c r="K1331" s="10">
        <f>IF(N(G1331)&gt;0,E1331/G1331,"")</f>
        <v/>
      </c>
      <c r="L1331" s="10">
        <f>IF(N(H1331)&gt;0,E1331/H1331,"")</f>
        <v/>
      </c>
      <c r="M1331" s="11">
        <f>IF(N(E1331)&gt;0,I1331/E1331,"")</f>
        <v/>
      </c>
      <c r="N1331" s="10">
        <f>IF(AND(E1331="",I1331=""),"",N(I1331)*(1-COM-COM_SHOP)-N(E1331)*(1+IMP_META))</f>
        <v/>
      </c>
      <c r="O1331" s="37" t="n"/>
    </row>
    <row r="1332">
      <c r="A1332" s="36" t="n"/>
      <c r="B1332" s="37" t="n"/>
      <c r="C1332" s="37" t="n"/>
      <c r="D1332" s="38">
        <f>IF(C1332="","",IFERROR(INDEX(Anuncios!$B$6:$B$65,MATCH(C1332,Anuncios!$A$6:$A$65,0)),"(no está en Anuncios)"))</f>
        <v/>
      </c>
      <c r="E1332" s="39" t="n"/>
      <c r="F1332" s="40" t="n"/>
      <c r="G1332" s="40" t="n"/>
      <c r="H1332" s="40" t="n"/>
      <c r="I1332" s="39" t="n"/>
      <c r="J1332" s="13">
        <f>IF(N(F1332)&gt;0,G1332/F1332,"")</f>
        <v/>
      </c>
      <c r="K1332" s="10">
        <f>IF(N(G1332)&gt;0,E1332/G1332,"")</f>
        <v/>
      </c>
      <c r="L1332" s="10">
        <f>IF(N(H1332)&gt;0,E1332/H1332,"")</f>
        <v/>
      </c>
      <c r="M1332" s="11">
        <f>IF(N(E1332)&gt;0,I1332/E1332,"")</f>
        <v/>
      </c>
      <c r="N1332" s="10">
        <f>IF(AND(E1332="",I1332=""),"",N(I1332)*(1-COM-COM_SHOP)-N(E1332)*(1+IMP_META))</f>
        <v/>
      </c>
      <c r="O1332" s="37" t="n"/>
    </row>
    <row r="1333">
      <c r="A1333" s="36" t="n"/>
      <c r="B1333" s="37" t="n"/>
      <c r="C1333" s="37" t="n"/>
      <c r="D1333" s="38">
        <f>IF(C1333="","",IFERROR(INDEX(Anuncios!$B$6:$B$65,MATCH(C1333,Anuncios!$A$6:$A$65,0)),"(no está en Anuncios)"))</f>
        <v/>
      </c>
      <c r="E1333" s="39" t="n"/>
      <c r="F1333" s="40" t="n"/>
      <c r="G1333" s="40" t="n"/>
      <c r="H1333" s="40" t="n"/>
      <c r="I1333" s="39" t="n"/>
      <c r="J1333" s="13">
        <f>IF(N(F1333)&gt;0,G1333/F1333,"")</f>
        <v/>
      </c>
      <c r="K1333" s="10">
        <f>IF(N(G1333)&gt;0,E1333/G1333,"")</f>
        <v/>
      </c>
      <c r="L1333" s="10">
        <f>IF(N(H1333)&gt;0,E1333/H1333,"")</f>
        <v/>
      </c>
      <c r="M1333" s="11">
        <f>IF(N(E1333)&gt;0,I1333/E1333,"")</f>
        <v/>
      </c>
      <c r="N1333" s="10">
        <f>IF(AND(E1333="",I1333=""),"",N(I1333)*(1-COM-COM_SHOP)-N(E1333)*(1+IMP_META))</f>
        <v/>
      </c>
      <c r="O1333" s="37" t="n"/>
    </row>
    <row r="1334">
      <c r="A1334" s="36" t="n"/>
      <c r="B1334" s="37" t="n"/>
      <c r="C1334" s="37" t="n"/>
      <c r="D1334" s="38">
        <f>IF(C1334="","",IFERROR(INDEX(Anuncios!$B$6:$B$65,MATCH(C1334,Anuncios!$A$6:$A$65,0)),"(no está en Anuncios)"))</f>
        <v/>
      </c>
      <c r="E1334" s="39" t="n"/>
      <c r="F1334" s="40" t="n"/>
      <c r="G1334" s="40" t="n"/>
      <c r="H1334" s="40" t="n"/>
      <c r="I1334" s="39" t="n"/>
      <c r="J1334" s="13">
        <f>IF(N(F1334)&gt;0,G1334/F1334,"")</f>
        <v/>
      </c>
      <c r="K1334" s="10">
        <f>IF(N(G1334)&gt;0,E1334/G1334,"")</f>
        <v/>
      </c>
      <c r="L1334" s="10">
        <f>IF(N(H1334)&gt;0,E1334/H1334,"")</f>
        <v/>
      </c>
      <c r="M1334" s="11">
        <f>IF(N(E1334)&gt;0,I1334/E1334,"")</f>
        <v/>
      </c>
      <c r="N1334" s="10">
        <f>IF(AND(E1334="",I1334=""),"",N(I1334)*(1-COM-COM_SHOP)-N(E1334)*(1+IMP_META))</f>
        <v/>
      </c>
      <c r="O1334" s="37" t="n"/>
    </row>
    <row r="1335">
      <c r="A1335" s="36" t="n"/>
      <c r="B1335" s="37" t="n"/>
      <c r="C1335" s="37" t="n"/>
      <c r="D1335" s="38">
        <f>IF(C1335="","",IFERROR(INDEX(Anuncios!$B$6:$B$65,MATCH(C1335,Anuncios!$A$6:$A$65,0)),"(no está en Anuncios)"))</f>
        <v/>
      </c>
      <c r="E1335" s="39" t="n"/>
      <c r="F1335" s="40" t="n"/>
      <c r="G1335" s="40" t="n"/>
      <c r="H1335" s="40" t="n"/>
      <c r="I1335" s="39" t="n"/>
      <c r="J1335" s="13">
        <f>IF(N(F1335)&gt;0,G1335/F1335,"")</f>
        <v/>
      </c>
      <c r="K1335" s="10">
        <f>IF(N(G1335)&gt;0,E1335/G1335,"")</f>
        <v/>
      </c>
      <c r="L1335" s="10">
        <f>IF(N(H1335)&gt;0,E1335/H1335,"")</f>
        <v/>
      </c>
      <c r="M1335" s="11">
        <f>IF(N(E1335)&gt;0,I1335/E1335,"")</f>
        <v/>
      </c>
      <c r="N1335" s="10">
        <f>IF(AND(E1335="",I1335=""),"",N(I1335)*(1-COM-COM_SHOP)-N(E1335)*(1+IMP_META))</f>
        <v/>
      </c>
      <c r="O1335" s="37" t="n"/>
    </row>
    <row r="1336">
      <c r="A1336" s="36" t="n"/>
      <c r="B1336" s="37" t="n"/>
      <c r="C1336" s="37" t="n"/>
      <c r="D1336" s="38">
        <f>IF(C1336="","",IFERROR(INDEX(Anuncios!$B$6:$B$65,MATCH(C1336,Anuncios!$A$6:$A$65,0)),"(no está en Anuncios)"))</f>
        <v/>
      </c>
      <c r="E1336" s="39" t="n"/>
      <c r="F1336" s="40" t="n"/>
      <c r="G1336" s="40" t="n"/>
      <c r="H1336" s="40" t="n"/>
      <c r="I1336" s="39" t="n"/>
      <c r="J1336" s="13">
        <f>IF(N(F1336)&gt;0,G1336/F1336,"")</f>
        <v/>
      </c>
      <c r="K1336" s="10">
        <f>IF(N(G1336)&gt;0,E1336/G1336,"")</f>
        <v/>
      </c>
      <c r="L1336" s="10">
        <f>IF(N(H1336)&gt;0,E1336/H1336,"")</f>
        <v/>
      </c>
      <c r="M1336" s="11">
        <f>IF(N(E1336)&gt;0,I1336/E1336,"")</f>
        <v/>
      </c>
      <c r="N1336" s="10">
        <f>IF(AND(E1336="",I1336=""),"",N(I1336)*(1-COM-COM_SHOP)-N(E1336)*(1+IMP_META))</f>
        <v/>
      </c>
      <c r="O1336" s="37" t="n"/>
    </row>
    <row r="1337">
      <c r="A1337" s="36" t="n"/>
      <c r="B1337" s="37" t="n"/>
      <c r="C1337" s="37" t="n"/>
      <c r="D1337" s="38">
        <f>IF(C1337="","",IFERROR(INDEX(Anuncios!$B$6:$B$65,MATCH(C1337,Anuncios!$A$6:$A$65,0)),"(no está en Anuncios)"))</f>
        <v/>
      </c>
      <c r="E1337" s="39" t="n"/>
      <c r="F1337" s="40" t="n"/>
      <c r="G1337" s="40" t="n"/>
      <c r="H1337" s="40" t="n"/>
      <c r="I1337" s="39" t="n"/>
      <c r="J1337" s="13">
        <f>IF(N(F1337)&gt;0,G1337/F1337,"")</f>
        <v/>
      </c>
      <c r="K1337" s="10">
        <f>IF(N(G1337)&gt;0,E1337/G1337,"")</f>
        <v/>
      </c>
      <c r="L1337" s="10">
        <f>IF(N(H1337)&gt;0,E1337/H1337,"")</f>
        <v/>
      </c>
      <c r="M1337" s="11">
        <f>IF(N(E1337)&gt;0,I1337/E1337,"")</f>
        <v/>
      </c>
      <c r="N1337" s="10">
        <f>IF(AND(E1337="",I1337=""),"",N(I1337)*(1-COM-COM_SHOP)-N(E1337)*(1+IMP_META))</f>
        <v/>
      </c>
      <c r="O1337" s="37" t="n"/>
    </row>
    <row r="1338">
      <c r="A1338" s="36" t="n"/>
      <c r="B1338" s="37" t="n"/>
      <c r="C1338" s="37" t="n"/>
      <c r="D1338" s="38">
        <f>IF(C1338="","",IFERROR(INDEX(Anuncios!$B$6:$B$65,MATCH(C1338,Anuncios!$A$6:$A$65,0)),"(no está en Anuncios)"))</f>
        <v/>
      </c>
      <c r="E1338" s="39" t="n"/>
      <c r="F1338" s="40" t="n"/>
      <c r="G1338" s="40" t="n"/>
      <c r="H1338" s="40" t="n"/>
      <c r="I1338" s="39" t="n"/>
      <c r="J1338" s="13">
        <f>IF(N(F1338)&gt;0,G1338/F1338,"")</f>
        <v/>
      </c>
      <c r="K1338" s="10">
        <f>IF(N(G1338)&gt;0,E1338/G1338,"")</f>
        <v/>
      </c>
      <c r="L1338" s="10">
        <f>IF(N(H1338)&gt;0,E1338/H1338,"")</f>
        <v/>
      </c>
      <c r="M1338" s="11">
        <f>IF(N(E1338)&gt;0,I1338/E1338,"")</f>
        <v/>
      </c>
      <c r="N1338" s="10">
        <f>IF(AND(E1338="",I1338=""),"",N(I1338)*(1-COM-COM_SHOP)-N(E1338)*(1+IMP_META))</f>
        <v/>
      </c>
      <c r="O1338" s="37" t="n"/>
    </row>
    <row r="1339">
      <c r="A1339" s="36" t="n"/>
      <c r="B1339" s="37" t="n"/>
      <c r="C1339" s="37" t="n"/>
      <c r="D1339" s="38">
        <f>IF(C1339="","",IFERROR(INDEX(Anuncios!$B$6:$B$65,MATCH(C1339,Anuncios!$A$6:$A$65,0)),"(no está en Anuncios)"))</f>
        <v/>
      </c>
      <c r="E1339" s="39" t="n"/>
      <c r="F1339" s="40" t="n"/>
      <c r="G1339" s="40" t="n"/>
      <c r="H1339" s="40" t="n"/>
      <c r="I1339" s="39" t="n"/>
      <c r="J1339" s="13">
        <f>IF(N(F1339)&gt;0,G1339/F1339,"")</f>
        <v/>
      </c>
      <c r="K1339" s="10">
        <f>IF(N(G1339)&gt;0,E1339/G1339,"")</f>
        <v/>
      </c>
      <c r="L1339" s="10">
        <f>IF(N(H1339)&gt;0,E1339/H1339,"")</f>
        <v/>
      </c>
      <c r="M1339" s="11">
        <f>IF(N(E1339)&gt;0,I1339/E1339,"")</f>
        <v/>
      </c>
      <c r="N1339" s="10">
        <f>IF(AND(E1339="",I1339=""),"",N(I1339)*(1-COM-COM_SHOP)-N(E1339)*(1+IMP_META))</f>
        <v/>
      </c>
      <c r="O1339" s="37" t="n"/>
    </row>
    <row r="1340">
      <c r="A1340" s="36" t="n"/>
      <c r="B1340" s="37" t="n"/>
      <c r="C1340" s="37" t="n"/>
      <c r="D1340" s="38">
        <f>IF(C1340="","",IFERROR(INDEX(Anuncios!$B$6:$B$65,MATCH(C1340,Anuncios!$A$6:$A$65,0)),"(no está en Anuncios)"))</f>
        <v/>
      </c>
      <c r="E1340" s="39" t="n"/>
      <c r="F1340" s="40" t="n"/>
      <c r="G1340" s="40" t="n"/>
      <c r="H1340" s="40" t="n"/>
      <c r="I1340" s="39" t="n"/>
      <c r="J1340" s="13">
        <f>IF(N(F1340)&gt;0,G1340/F1340,"")</f>
        <v/>
      </c>
      <c r="K1340" s="10">
        <f>IF(N(G1340)&gt;0,E1340/G1340,"")</f>
        <v/>
      </c>
      <c r="L1340" s="10">
        <f>IF(N(H1340)&gt;0,E1340/H1340,"")</f>
        <v/>
      </c>
      <c r="M1340" s="11">
        <f>IF(N(E1340)&gt;0,I1340/E1340,"")</f>
        <v/>
      </c>
      <c r="N1340" s="10">
        <f>IF(AND(E1340="",I1340=""),"",N(I1340)*(1-COM-COM_SHOP)-N(E1340)*(1+IMP_META))</f>
        <v/>
      </c>
      <c r="O1340" s="37" t="n"/>
    </row>
    <row r="1341">
      <c r="A1341" s="36" t="n"/>
      <c r="B1341" s="37" t="n"/>
      <c r="C1341" s="37" t="n"/>
      <c r="D1341" s="38">
        <f>IF(C1341="","",IFERROR(INDEX(Anuncios!$B$6:$B$65,MATCH(C1341,Anuncios!$A$6:$A$65,0)),"(no está en Anuncios)"))</f>
        <v/>
      </c>
      <c r="E1341" s="39" t="n"/>
      <c r="F1341" s="40" t="n"/>
      <c r="G1341" s="40" t="n"/>
      <c r="H1341" s="40" t="n"/>
      <c r="I1341" s="39" t="n"/>
      <c r="J1341" s="13">
        <f>IF(N(F1341)&gt;0,G1341/F1341,"")</f>
        <v/>
      </c>
      <c r="K1341" s="10">
        <f>IF(N(G1341)&gt;0,E1341/G1341,"")</f>
        <v/>
      </c>
      <c r="L1341" s="10">
        <f>IF(N(H1341)&gt;0,E1341/H1341,"")</f>
        <v/>
      </c>
      <c r="M1341" s="11">
        <f>IF(N(E1341)&gt;0,I1341/E1341,"")</f>
        <v/>
      </c>
      <c r="N1341" s="10">
        <f>IF(AND(E1341="",I1341=""),"",N(I1341)*(1-COM-COM_SHOP)-N(E1341)*(1+IMP_META))</f>
        <v/>
      </c>
      <c r="O1341" s="37" t="n"/>
    </row>
    <row r="1342">
      <c r="A1342" s="36" t="n"/>
      <c r="B1342" s="37" t="n"/>
      <c r="C1342" s="37" t="n"/>
      <c r="D1342" s="38">
        <f>IF(C1342="","",IFERROR(INDEX(Anuncios!$B$6:$B$65,MATCH(C1342,Anuncios!$A$6:$A$65,0)),"(no está en Anuncios)"))</f>
        <v/>
      </c>
      <c r="E1342" s="39" t="n"/>
      <c r="F1342" s="40" t="n"/>
      <c r="G1342" s="40" t="n"/>
      <c r="H1342" s="40" t="n"/>
      <c r="I1342" s="39" t="n"/>
      <c r="J1342" s="13">
        <f>IF(N(F1342)&gt;0,G1342/F1342,"")</f>
        <v/>
      </c>
      <c r="K1342" s="10">
        <f>IF(N(G1342)&gt;0,E1342/G1342,"")</f>
        <v/>
      </c>
      <c r="L1342" s="10">
        <f>IF(N(H1342)&gt;0,E1342/H1342,"")</f>
        <v/>
      </c>
      <c r="M1342" s="11">
        <f>IF(N(E1342)&gt;0,I1342/E1342,"")</f>
        <v/>
      </c>
      <c r="N1342" s="10">
        <f>IF(AND(E1342="",I1342=""),"",N(I1342)*(1-COM-COM_SHOP)-N(E1342)*(1+IMP_META))</f>
        <v/>
      </c>
      <c r="O1342" s="37" t="n"/>
    </row>
    <row r="1343">
      <c r="A1343" s="36" t="n"/>
      <c r="B1343" s="37" t="n"/>
      <c r="C1343" s="37" t="n"/>
      <c r="D1343" s="38">
        <f>IF(C1343="","",IFERROR(INDEX(Anuncios!$B$6:$B$65,MATCH(C1343,Anuncios!$A$6:$A$65,0)),"(no está en Anuncios)"))</f>
        <v/>
      </c>
      <c r="E1343" s="39" t="n"/>
      <c r="F1343" s="40" t="n"/>
      <c r="G1343" s="40" t="n"/>
      <c r="H1343" s="40" t="n"/>
      <c r="I1343" s="39" t="n"/>
      <c r="J1343" s="13">
        <f>IF(N(F1343)&gt;0,G1343/F1343,"")</f>
        <v/>
      </c>
      <c r="K1343" s="10">
        <f>IF(N(G1343)&gt;0,E1343/G1343,"")</f>
        <v/>
      </c>
      <c r="L1343" s="10">
        <f>IF(N(H1343)&gt;0,E1343/H1343,"")</f>
        <v/>
      </c>
      <c r="M1343" s="11">
        <f>IF(N(E1343)&gt;0,I1343/E1343,"")</f>
        <v/>
      </c>
      <c r="N1343" s="10">
        <f>IF(AND(E1343="",I1343=""),"",N(I1343)*(1-COM-COM_SHOP)-N(E1343)*(1+IMP_META))</f>
        <v/>
      </c>
      <c r="O1343" s="37" t="n"/>
    </row>
    <row r="1344">
      <c r="A1344" s="36" t="n"/>
      <c r="B1344" s="37" t="n"/>
      <c r="C1344" s="37" t="n"/>
      <c r="D1344" s="38">
        <f>IF(C1344="","",IFERROR(INDEX(Anuncios!$B$6:$B$65,MATCH(C1344,Anuncios!$A$6:$A$65,0)),"(no está en Anuncios)"))</f>
        <v/>
      </c>
      <c r="E1344" s="39" t="n"/>
      <c r="F1344" s="40" t="n"/>
      <c r="G1344" s="40" t="n"/>
      <c r="H1344" s="40" t="n"/>
      <c r="I1344" s="39" t="n"/>
      <c r="J1344" s="13">
        <f>IF(N(F1344)&gt;0,G1344/F1344,"")</f>
        <v/>
      </c>
      <c r="K1344" s="10">
        <f>IF(N(G1344)&gt;0,E1344/G1344,"")</f>
        <v/>
      </c>
      <c r="L1344" s="10">
        <f>IF(N(H1344)&gt;0,E1344/H1344,"")</f>
        <v/>
      </c>
      <c r="M1344" s="11">
        <f>IF(N(E1344)&gt;0,I1344/E1344,"")</f>
        <v/>
      </c>
      <c r="N1344" s="10">
        <f>IF(AND(E1344="",I1344=""),"",N(I1344)*(1-COM-COM_SHOP)-N(E1344)*(1+IMP_META))</f>
        <v/>
      </c>
      <c r="O1344" s="37" t="n"/>
    </row>
    <row r="1345">
      <c r="A1345" s="36" t="n"/>
      <c r="B1345" s="37" t="n"/>
      <c r="C1345" s="37" t="n"/>
      <c r="D1345" s="38">
        <f>IF(C1345="","",IFERROR(INDEX(Anuncios!$B$6:$B$65,MATCH(C1345,Anuncios!$A$6:$A$65,0)),"(no está en Anuncios)"))</f>
        <v/>
      </c>
      <c r="E1345" s="39" t="n"/>
      <c r="F1345" s="40" t="n"/>
      <c r="G1345" s="40" t="n"/>
      <c r="H1345" s="40" t="n"/>
      <c r="I1345" s="39" t="n"/>
      <c r="J1345" s="13">
        <f>IF(N(F1345)&gt;0,G1345/F1345,"")</f>
        <v/>
      </c>
      <c r="K1345" s="10">
        <f>IF(N(G1345)&gt;0,E1345/G1345,"")</f>
        <v/>
      </c>
      <c r="L1345" s="10">
        <f>IF(N(H1345)&gt;0,E1345/H1345,"")</f>
        <v/>
      </c>
      <c r="M1345" s="11">
        <f>IF(N(E1345)&gt;0,I1345/E1345,"")</f>
        <v/>
      </c>
      <c r="N1345" s="10">
        <f>IF(AND(E1345="",I1345=""),"",N(I1345)*(1-COM-COM_SHOP)-N(E1345)*(1+IMP_META))</f>
        <v/>
      </c>
      <c r="O1345" s="37" t="n"/>
    </row>
    <row r="1346">
      <c r="A1346" s="36" t="n"/>
      <c r="B1346" s="37" t="n"/>
      <c r="C1346" s="37" t="n"/>
      <c r="D1346" s="38">
        <f>IF(C1346="","",IFERROR(INDEX(Anuncios!$B$6:$B$65,MATCH(C1346,Anuncios!$A$6:$A$65,0)),"(no está en Anuncios)"))</f>
        <v/>
      </c>
      <c r="E1346" s="39" t="n"/>
      <c r="F1346" s="40" t="n"/>
      <c r="G1346" s="40" t="n"/>
      <c r="H1346" s="40" t="n"/>
      <c r="I1346" s="39" t="n"/>
      <c r="J1346" s="13">
        <f>IF(N(F1346)&gt;0,G1346/F1346,"")</f>
        <v/>
      </c>
      <c r="K1346" s="10">
        <f>IF(N(G1346)&gt;0,E1346/G1346,"")</f>
        <v/>
      </c>
      <c r="L1346" s="10">
        <f>IF(N(H1346)&gt;0,E1346/H1346,"")</f>
        <v/>
      </c>
      <c r="M1346" s="11">
        <f>IF(N(E1346)&gt;0,I1346/E1346,"")</f>
        <v/>
      </c>
      <c r="N1346" s="10">
        <f>IF(AND(E1346="",I1346=""),"",N(I1346)*(1-COM-COM_SHOP)-N(E1346)*(1+IMP_META))</f>
        <v/>
      </c>
      <c r="O1346" s="37" t="n"/>
    </row>
    <row r="1347">
      <c r="A1347" s="36" t="n"/>
      <c r="B1347" s="37" t="n"/>
      <c r="C1347" s="37" t="n"/>
      <c r="D1347" s="38">
        <f>IF(C1347="","",IFERROR(INDEX(Anuncios!$B$6:$B$65,MATCH(C1347,Anuncios!$A$6:$A$65,0)),"(no está en Anuncios)"))</f>
        <v/>
      </c>
      <c r="E1347" s="39" t="n"/>
      <c r="F1347" s="40" t="n"/>
      <c r="G1347" s="40" t="n"/>
      <c r="H1347" s="40" t="n"/>
      <c r="I1347" s="39" t="n"/>
      <c r="J1347" s="13">
        <f>IF(N(F1347)&gt;0,G1347/F1347,"")</f>
        <v/>
      </c>
      <c r="K1347" s="10">
        <f>IF(N(G1347)&gt;0,E1347/G1347,"")</f>
        <v/>
      </c>
      <c r="L1347" s="10">
        <f>IF(N(H1347)&gt;0,E1347/H1347,"")</f>
        <v/>
      </c>
      <c r="M1347" s="11">
        <f>IF(N(E1347)&gt;0,I1347/E1347,"")</f>
        <v/>
      </c>
      <c r="N1347" s="10">
        <f>IF(AND(E1347="",I1347=""),"",N(I1347)*(1-COM-COM_SHOP)-N(E1347)*(1+IMP_META))</f>
        <v/>
      </c>
      <c r="O1347" s="37" t="n"/>
    </row>
    <row r="1348">
      <c r="A1348" s="36" t="n"/>
      <c r="B1348" s="37" t="n"/>
      <c r="C1348" s="37" t="n"/>
      <c r="D1348" s="38">
        <f>IF(C1348="","",IFERROR(INDEX(Anuncios!$B$6:$B$65,MATCH(C1348,Anuncios!$A$6:$A$65,0)),"(no está en Anuncios)"))</f>
        <v/>
      </c>
      <c r="E1348" s="39" t="n"/>
      <c r="F1348" s="40" t="n"/>
      <c r="G1348" s="40" t="n"/>
      <c r="H1348" s="40" t="n"/>
      <c r="I1348" s="39" t="n"/>
      <c r="J1348" s="13">
        <f>IF(N(F1348)&gt;0,G1348/F1348,"")</f>
        <v/>
      </c>
      <c r="K1348" s="10">
        <f>IF(N(G1348)&gt;0,E1348/G1348,"")</f>
        <v/>
      </c>
      <c r="L1348" s="10">
        <f>IF(N(H1348)&gt;0,E1348/H1348,"")</f>
        <v/>
      </c>
      <c r="M1348" s="11">
        <f>IF(N(E1348)&gt;0,I1348/E1348,"")</f>
        <v/>
      </c>
      <c r="N1348" s="10">
        <f>IF(AND(E1348="",I1348=""),"",N(I1348)*(1-COM-COM_SHOP)-N(E1348)*(1+IMP_META))</f>
        <v/>
      </c>
      <c r="O1348" s="37" t="n"/>
    </row>
    <row r="1349">
      <c r="A1349" s="36" t="n"/>
      <c r="B1349" s="37" t="n"/>
      <c r="C1349" s="37" t="n"/>
      <c r="D1349" s="38">
        <f>IF(C1349="","",IFERROR(INDEX(Anuncios!$B$6:$B$65,MATCH(C1349,Anuncios!$A$6:$A$65,0)),"(no está en Anuncios)"))</f>
        <v/>
      </c>
      <c r="E1349" s="39" t="n"/>
      <c r="F1349" s="40" t="n"/>
      <c r="G1349" s="40" t="n"/>
      <c r="H1349" s="40" t="n"/>
      <c r="I1349" s="39" t="n"/>
      <c r="J1349" s="13">
        <f>IF(N(F1349)&gt;0,G1349/F1349,"")</f>
        <v/>
      </c>
      <c r="K1349" s="10">
        <f>IF(N(G1349)&gt;0,E1349/G1349,"")</f>
        <v/>
      </c>
      <c r="L1349" s="10">
        <f>IF(N(H1349)&gt;0,E1349/H1349,"")</f>
        <v/>
      </c>
      <c r="M1349" s="11">
        <f>IF(N(E1349)&gt;0,I1349/E1349,"")</f>
        <v/>
      </c>
      <c r="N1349" s="10">
        <f>IF(AND(E1349="",I1349=""),"",N(I1349)*(1-COM-COM_SHOP)-N(E1349)*(1+IMP_META))</f>
        <v/>
      </c>
      <c r="O1349" s="37" t="n"/>
    </row>
    <row r="1350">
      <c r="A1350" s="36" t="n"/>
      <c r="B1350" s="37" t="n"/>
      <c r="C1350" s="37" t="n"/>
      <c r="D1350" s="38">
        <f>IF(C1350="","",IFERROR(INDEX(Anuncios!$B$6:$B$65,MATCH(C1350,Anuncios!$A$6:$A$65,0)),"(no está en Anuncios)"))</f>
        <v/>
      </c>
      <c r="E1350" s="39" t="n"/>
      <c r="F1350" s="40" t="n"/>
      <c r="G1350" s="40" t="n"/>
      <c r="H1350" s="40" t="n"/>
      <c r="I1350" s="39" t="n"/>
      <c r="J1350" s="13">
        <f>IF(N(F1350)&gt;0,G1350/F1350,"")</f>
        <v/>
      </c>
      <c r="K1350" s="10">
        <f>IF(N(G1350)&gt;0,E1350/G1350,"")</f>
        <v/>
      </c>
      <c r="L1350" s="10">
        <f>IF(N(H1350)&gt;0,E1350/H1350,"")</f>
        <v/>
      </c>
      <c r="M1350" s="11">
        <f>IF(N(E1350)&gt;0,I1350/E1350,"")</f>
        <v/>
      </c>
      <c r="N1350" s="10">
        <f>IF(AND(E1350="",I1350=""),"",N(I1350)*(1-COM-COM_SHOP)-N(E1350)*(1+IMP_META))</f>
        <v/>
      </c>
      <c r="O1350" s="37" t="n"/>
    </row>
    <row r="1351">
      <c r="A1351" s="36" t="n"/>
      <c r="B1351" s="37" t="n"/>
      <c r="C1351" s="37" t="n"/>
      <c r="D1351" s="38">
        <f>IF(C1351="","",IFERROR(INDEX(Anuncios!$B$6:$B$65,MATCH(C1351,Anuncios!$A$6:$A$65,0)),"(no está en Anuncios)"))</f>
        <v/>
      </c>
      <c r="E1351" s="39" t="n"/>
      <c r="F1351" s="40" t="n"/>
      <c r="G1351" s="40" t="n"/>
      <c r="H1351" s="40" t="n"/>
      <c r="I1351" s="39" t="n"/>
      <c r="J1351" s="13">
        <f>IF(N(F1351)&gt;0,G1351/F1351,"")</f>
        <v/>
      </c>
      <c r="K1351" s="10">
        <f>IF(N(G1351)&gt;0,E1351/G1351,"")</f>
        <v/>
      </c>
      <c r="L1351" s="10">
        <f>IF(N(H1351)&gt;0,E1351/H1351,"")</f>
        <v/>
      </c>
      <c r="M1351" s="11">
        <f>IF(N(E1351)&gt;0,I1351/E1351,"")</f>
        <v/>
      </c>
      <c r="N1351" s="10">
        <f>IF(AND(E1351="",I1351=""),"",N(I1351)*(1-COM-COM_SHOP)-N(E1351)*(1+IMP_META))</f>
        <v/>
      </c>
      <c r="O1351" s="37" t="n"/>
    </row>
    <row r="1352">
      <c r="A1352" s="36" t="n"/>
      <c r="B1352" s="37" t="n"/>
      <c r="C1352" s="37" t="n"/>
      <c r="D1352" s="38">
        <f>IF(C1352="","",IFERROR(INDEX(Anuncios!$B$6:$B$65,MATCH(C1352,Anuncios!$A$6:$A$65,0)),"(no está en Anuncios)"))</f>
        <v/>
      </c>
      <c r="E1352" s="39" t="n"/>
      <c r="F1352" s="40" t="n"/>
      <c r="G1352" s="40" t="n"/>
      <c r="H1352" s="40" t="n"/>
      <c r="I1352" s="39" t="n"/>
      <c r="J1352" s="13">
        <f>IF(N(F1352)&gt;0,G1352/F1352,"")</f>
        <v/>
      </c>
      <c r="K1352" s="10">
        <f>IF(N(G1352)&gt;0,E1352/G1352,"")</f>
        <v/>
      </c>
      <c r="L1352" s="10">
        <f>IF(N(H1352)&gt;0,E1352/H1352,"")</f>
        <v/>
      </c>
      <c r="M1352" s="11">
        <f>IF(N(E1352)&gt;0,I1352/E1352,"")</f>
        <v/>
      </c>
      <c r="N1352" s="10">
        <f>IF(AND(E1352="",I1352=""),"",N(I1352)*(1-COM-COM_SHOP)-N(E1352)*(1+IMP_META))</f>
        <v/>
      </c>
      <c r="O1352" s="37" t="n"/>
    </row>
    <row r="1353">
      <c r="A1353" s="36" t="n"/>
      <c r="B1353" s="37" t="n"/>
      <c r="C1353" s="37" t="n"/>
      <c r="D1353" s="38">
        <f>IF(C1353="","",IFERROR(INDEX(Anuncios!$B$6:$B$65,MATCH(C1353,Anuncios!$A$6:$A$65,0)),"(no está en Anuncios)"))</f>
        <v/>
      </c>
      <c r="E1353" s="39" t="n"/>
      <c r="F1353" s="40" t="n"/>
      <c r="G1353" s="40" t="n"/>
      <c r="H1353" s="40" t="n"/>
      <c r="I1353" s="39" t="n"/>
      <c r="J1353" s="13">
        <f>IF(N(F1353)&gt;0,G1353/F1353,"")</f>
        <v/>
      </c>
      <c r="K1353" s="10">
        <f>IF(N(G1353)&gt;0,E1353/G1353,"")</f>
        <v/>
      </c>
      <c r="L1353" s="10">
        <f>IF(N(H1353)&gt;0,E1353/H1353,"")</f>
        <v/>
      </c>
      <c r="M1353" s="11">
        <f>IF(N(E1353)&gt;0,I1353/E1353,"")</f>
        <v/>
      </c>
      <c r="N1353" s="10">
        <f>IF(AND(E1353="",I1353=""),"",N(I1353)*(1-COM-COM_SHOP)-N(E1353)*(1+IMP_META))</f>
        <v/>
      </c>
      <c r="O1353" s="37" t="n"/>
    </row>
    <row r="1354">
      <c r="A1354" s="36" t="n"/>
      <c r="B1354" s="37" t="n"/>
      <c r="C1354" s="37" t="n"/>
      <c r="D1354" s="38">
        <f>IF(C1354="","",IFERROR(INDEX(Anuncios!$B$6:$B$65,MATCH(C1354,Anuncios!$A$6:$A$65,0)),"(no está en Anuncios)"))</f>
        <v/>
      </c>
      <c r="E1354" s="39" t="n"/>
      <c r="F1354" s="40" t="n"/>
      <c r="G1354" s="40" t="n"/>
      <c r="H1354" s="40" t="n"/>
      <c r="I1354" s="39" t="n"/>
      <c r="J1354" s="13">
        <f>IF(N(F1354)&gt;0,G1354/F1354,"")</f>
        <v/>
      </c>
      <c r="K1354" s="10">
        <f>IF(N(G1354)&gt;0,E1354/G1354,"")</f>
        <v/>
      </c>
      <c r="L1354" s="10">
        <f>IF(N(H1354)&gt;0,E1354/H1354,"")</f>
        <v/>
      </c>
      <c r="M1354" s="11">
        <f>IF(N(E1354)&gt;0,I1354/E1354,"")</f>
        <v/>
      </c>
      <c r="N1354" s="10">
        <f>IF(AND(E1354="",I1354=""),"",N(I1354)*(1-COM-COM_SHOP)-N(E1354)*(1+IMP_META))</f>
        <v/>
      </c>
      <c r="O1354" s="37" t="n"/>
    </row>
    <row r="1355">
      <c r="A1355" s="36" t="n"/>
      <c r="B1355" s="37" t="n"/>
      <c r="C1355" s="37" t="n"/>
      <c r="D1355" s="38">
        <f>IF(C1355="","",IFERROR(INDEX(Anuncios!$B$6:$B$65,MATCH(C1355,Anuncios!$A$6:$A$65,0)),"(no está en Anuncios)"))</f>
        <v/>
      </c>
      <c r="E1355" s="39" t="n"/>
      <c r="F1355" s="40" t="n"/>
      <c r="G1355" s="40" t="n"/>
      <c r="H1355" s="40" t="n"/>
      <c r="I1355" s="39" t="n"/>
      <c r="J1355" s="13">
        <f>IF(N(F1355)&gt;0,G1355/F1355,"")</f>
        <v/>
      </c>
      <c r="K1355" s="10">
        <f>IF(N(G1355)&gt;0,E1355/G1355,"")</f>
        <v/>
      </c>
      <c r="L1355" s="10">
        <f>IF(N(H1355)&gt;0,E1355/H1355,"")</f>
        <v/>
      </c>
      <c r="M1355" s="11">
        <f>IF(N(E1355)&gt;0,I1355/E1355,"")</f>
        <v/>
      </c>
      <c r="N1355" s="10">
        <f>IF(AND(E1355="",I1355=""),"",N(I1355)*(1-COM-COM_SHOP)-N(E1355)*(1+IMP_META))</f>
        <v/>
      </c>
      <c r="O1355" s="37" t="n"/>
    </row>
    <row r="1356">
      <c r="A1356" s="36" t="n"/>
      <c r="B1356" s="37" t="n"/>
      <c r="C1356" s="37" t="n"/>
      <c r="D1356" s="38">
        <f>IF(C1356="","",IFERROR(INDEX(Anuncios!$B$6:$B$65,MATCH(C1356,Anuncios!$A$6:$A$65,0)),"(no está en Anuncios)"))</f>
        <v/>
      </c>
      <c r="E1356" s="39" t="n"/>
      <c r="F1356" s="40" t="n"/>
      <c r="G1356" s="40" t="n"/>
      <c r="H1356" s="40" t="n"/>
      <c r="I1356" s="39" t="n"/>
      <c r="J1356" s="13">
        <f>IF(N(F1356)&gt;0,G1356/F1356,"")</f>
        <v/>
      </c>
      <c r="K1356" s="10">
        <f>IF(N(G1356)&gt;0,E1356/G1356,"")</f>
        <v/>
      </c>
      <c r="L1356" s="10">
        <f>IF(N(H1356)&gt;0,E1356/H1356,"")</f>
        <v/>
      </c>
      <c r="M1356" s="11">
        <f>IF(N(E1356)&gt;0,I1356/E1356,"")</f>
        <v/>
      </c>
      <c r="N1356" s="10">
        <f>IF(AND(E1356="",I1356=""),"",N(I1356)*(1-COM-COM_SHOP)-N(E1356)*(1+IMP_META))</f>
        <v/>
      </c>
      <c r="O1356" s="37" t="n"/>
    </row>
    <row r="1357">
      <c r="A1357" s="36" t="n"/>
      <c r="B1357" s="37" t="n"/>
      <c r="C1357" s="37" t="n"/>
      <c r="D1357" s="38">
        <f>IF(C1357="","",IFERROR(INDEX(Anuncios!$B$6:$B$65,MATCH(C1357,Anuncios!$A$6:$A$65,0)),"(no está en Anuncios)"))</f>
        <v/>
      </c>
      <c r="E1357" s="39" t="n"/>
      <c r="F1357" s="40" t="n"/>
      <c r="G1357" s="40" t="n"/>
      <c r="H1357" s="40" t="n"/>
      <c r="I1357" s="39" t="n"/>
      <c r="J1357" s="13">
        <f>IF(N(F1357)&gt;0,G1357/F1357,"")</f>
        <v/>
      </c>
      <c r="K1357" s="10">
        <f>IF(N(G1357)&gt;0,E1357/G1357,"")</f>
        <v/>
      </c>
      <c r="L1357" s="10">
        <f>IF(N(H1357)&gt;0,E1357/H1357,"")</f>
        <v/>
      </c>
      <c r="M1357" s="11">
        <f>IF(N(E1357)&gt;0,I1357/E1357,"")</f>
        <v/>
      </c>
      <c r="N1357" s="10">
        <f>IF(AND(E1357="",I1357=""),"",N(I1357)*(1-COM-COM_SHOP)-N(E1357)*(1+IMP_META))</f>
        <v/>
      </c>
      <c r="O1357" s="37" t="n"/>
    </row>
    <row r="1358">
      <c r="A1358" s="36" t="n"/>
      <c r="B1358" s="37" t="n"/>
      <c r="C1358" s="37" t="n"/>
      <c r="D1358" s="38">
        <f>IF(C1358="","",IFERROR(INDEX(Anuncios!$B$6:$B$65,MATCH(C1358,Anuncios!$A$6:$A$65,0)),"(no está en Anuncios)"))</f>
        <v/>
      </c>
      <c r="E1358" s="39" t="n"/>
      <c r="F1358" s="40" t="n"/>
      <c r="G1358" s="40" t="n"/>
      <c r="H1358" s="40" t="n"/>
      <c r="I1358" s="39" t="n"/>
      <c r="J1358" s="13">
        <f>IF(N(F1358)&gt;0,G1358/F1358,"")</f>
        <v/>
      </c>
      <c r="K1358" s="10">
        <f>IF(N(G1358)&gt;0,E1358/G1358,"")</f>
        <v/>
      </c>
      <c r="L1358" s="10">
        <f>IF(N(H1358)&gt;0,E1358/H1358,"")</f>
        <v/>
      </c>
      <c r="M1358" s="11">
        <f>IF(N(E1358)&gt;0,I1358/E1358,"")</f>
        <v/>
      </c>
      <c r="N1358" s="10">
        <f>IF(AND(E1358="",I1358=""),"",N(I1358)*(1-COM-COM_SHOP)-N(E1358)*(1+IMP_META))</f>
        <v/>
      </c>
      <c r="O1358" s="37" t="n"/>
    </row>
    <row r="1359">
      <c r="A1359" s="36" t="n"/>
      <c r="B1359" s="37" t="n"/>
      <c r="C1359" s="37" t="n"/>
      <c r="D1359" s="38">
        <f>IF(C1359="","",IFERROR(INDEX(Anuncios!$B$6:$B$65,MATCH(C1359,Anuncios!$A$6:$A$65,0)),"(no está en Anuncios)"))</f>
        <v/>
      </c>
      <c r="E1359" s="39" t="n"/>
      <c r="F1359" s="40" t="n"/>
      <c r="G1359" s="40" t="n"/>
      <c r="H1359" s="40" t="n"/>
      <c r="I1359" s="39" t="n"/>
      <c r="J1359" s="13">
        <f>IF(N(F1359)&gt;0,G1359/F1359,"")</f>
        <v/>
      </c>
      <c r="K1359" s="10">
        <f>IF(N(G1359)&gt;0,E1359/G1359,"")</f>
        <v/>
      </c>
      <c r="L1359" s="10">
        <f>IF(N(H1359)&gt;0,E1359/H1359,"")</f>
        <v/>
      </c>
      <c r="M1359" s="11">
        <f>IF(N(E1359)&gt;0,I1359/E1359,"")</f>
        <v/>
      </c>
      <c r="N1359" s="10">
        <f>IF(AND(E1359="",I1359=""),"",N(I1359)*(1-COM-COM_SHOP)-N(E1359)*(1+IMP_META))</f>
        <v/>
      </c>
      <c r="O1359" s="37" t="n"/>
    </row>
    <row r="1360">
      <c r="A1360" s="36" t="n"/>
      <c r="B1360" s="37" t="n"/>
      <c r="C1360" s="37" t="n"/>
      <c r="D1360" s="38">
        <f>IF(C1360="","",IFERROR(INDEX(Anuncios!$B$6:$B$65,MATCH(C1360,Anuncios!$A$6:$A$65,0)),"(no está en Anuncios)"))</f>
        <v/>
      </c>
      <c r="E1360" s="39" t="n"/>
      <c r="F1360" s="40" t="n"/>
      <c r="G1360" s="40" t="n"/>
      <c r="H1360" s="40" t="n"/>
      <c r="I1360" s="39" t="n"/>
      <c r="J1360" s="13">
        <f>IF(N(F1360)&gt;0,G1360/F1360,"")</f>
        <v/>
      </c>
      <c r="K1360" s="10">
        <f>IF(N(G1360)&gt;0,E1360/G1360,"")</f>
        <v/>
      </c>
      <c r="L1360" s="10">
        <f>IF(N(H1360)&gt;0,E1360/H1360,"")</f>
        <v/>
      </c>
      <c r="M1360" s="11">
        <f>IF(N(E1360)&gt;0,I1360/E1360,"")</f>
        <v/>
      </c>
      <c r="N1360" s="10">
        <f>IF(AND(E1360="",I1360=""),"",N(I1360)*(1-COM-COM_SHOP)-N(E1360)*(1+IMP_META))</f>
        <v/>
      </c>
      <c r="O1360" s="37" t="n"/>
    </row>
    <row r="1361">
      <c r="A1361" s="36" t="n"/>
      <c r="B1361" s="37" t="n"/>
      <c r="C1361" s="37" t="n"/>
      <c r="D1361" s="38">
        <f>IF(C1361="","",IFERROR(INDEX(Anuncios!$B$6:$B$65,MATCH(C1361,Anuncios!$A$6:$A$65,0)),"(no está en Anuncios)"))</f>
        <v/>
      </c>
      <c r="E1361" s="39" t="n"/>
      <c r="F1361" s="40" t="n"/>
      <c r="G1361" s="40" t="n"/>
      <c r="H1361" s="40" t="n"/>
      <c r="I1361" s="39" t="n"/>
      <c r="J1361" s="13">
        <f>IF(N(F1361)&gt;0,G1361/F1361,"")</f>
        <v/>
      </c>
      <c r="K1361" s="10">
        <f>IF(N(G1361)&gt;0,E1361/G1361,"")</f>
        <v/>
      </c>
      <c r="L1361" s="10">
        <f>IF(N(H1361)&gt;0,E1361/H1361,"")</f>
        <v/>
      </c>
      <c r="M1361" s="11">
        <f>IF(N(E1361)&gt;0,I1361/E1361,"")</f>
        <v/>
      </c>
      <c r="N1361" s="10">
        <f>IF(AND(E1361="",I1361=""),"",N(I1361)*(1-COM-COM_SHOP)-N(E1361)*(1+IMP_META))</f>
        <v/>
      </c>
      <c r="O1361" s="37" t="n"/>
    </row>
    <row r="1362">
      <c r="A1362" s="36" t="n"/>
      <c r="B1362" s="37" t="n"/>
      <c r="C1362" s="37" t="n"/>
      <c r="D1362" s="38">
        <f>IF(C1362="","",IFERROR(INDEX(Anuncios!$B$6:$B$65,MATCH(C1362,Anuncios!$A$6:$A$65,0)),"(no está en Anuncios)"))</f>
        <v/>
      </c>
      <c r="E1362" s="39" t="n"/>
      <c r="F1362" s="40" t="n"/>
      <c r="G1362" s="40" t="n"/>
      <c r="H1362" s="40" t="n"/>
      <c r="I1362" s="39" t="n"/>
      <c r="J1362" s="13">
        <f>IF(N(F1362)&gt;0,G1362/F1362,"")</f>
        <v/>
      </c>
      <c r="K1362" s="10">
        <f>IF(N(G1362)&gt;0,E1362/G1362,"")</f>
        <v/>
      </c>
      <c r="L1362" s="10">
        <f>IF(N(H1362)&gt;0,E1362/H1362,"")</f>
        <v/>
      </c>
      <c r="M1362" s="11">
        <f>IF(N(E1362)&gt;0,I1362/E1362,"")</f>
        <v/>
      </c>
      <c r="N1362" s="10">
        <f>IF(AND(E1362="",I1362=""),"",N(I1362)*(1-COM-COM_SHOP)-N(E1362)*(1+IMP_META))</f>
        <v/>
      </c>
      <c r="O1362" s="37" t="n"/>
    </row>
    <row r="1363">
      <c r="A1363" s="36" t="n"/>
      <c r="B1363" s="37" t="n"/>
      <c r="C1363" s="37" t="n"/>
      <c r="D1363" s="38">
        <f>IF(C1363="","",IFERROR(INDEX(Anuncios!$B$6:$B$65,MATCH(C1363,Anuncios!$A$6:$A$65,0)),"(no está en Anuncios)"))</f>
        <v/>
      </c>
      <c r="E1363" s="39" t="n"/>
      <c r="F1363" s="40" t="n"/>
      <c r="G1363" s="40" t="n"/>
      <c r="H1363" s="40" t="n"/>
      <c r="I1363" s="39" t="n"/>
      <c r="J1363" s="13">
        <f>IF(N(F1363)&gt;0,G1363/F1363,"")</f>
        <v/>
      </c>
      <c r="K1363" s="10">
        <f>IF(N(G1363)&gt;0,E1363/G1363,"")</f>
        <v/>
      </c>
      <c r="L1363" s="10">
        <f>IF(N(H1363)&gt;0,E1363/H1363,"")</f>
        <v/>
      </c>
      <c r="M1363" s="11">
        <f>IF(N(E1363)&gt;0,I1363/E1363,"")</f>
        <v/>
      </c>
      <c r="N1363" s="10">
        <f>IF(AND(E1363="",I1363=""),"",N(I1363)*(1-COM-COM_SHOP)-N(E1363)*(1+IMP_META))</f>
        <v/>
      </c>
      <c r="O1363" s="37" t="n"/>
    </row>
    <row r="1364">
      <c r="A1364" s="36" t="n"/>
      <c r="B1364" s="37" t="n"/>
      <c r="C1364" s="37" t="n"/>
      <c r="D1364" s="38">
        <f>IF(C1364="","",IFERROR(INDEX(Anuncios!$B$6:$B$65,MATCH(C1364,Anuncios!$A$6:$A$65,0)),"(no está en Anuncios)"))</f>
        <v/>
      </c>
      <c r="E1364" s="39" t="n"/>
      <c r="F1364" s="40" t="n"/>
      <c r="G1364" s="40" t="n"/>
      <c r="H1364" s="40" t="n"/>
      <c r="I1364" s="39" t="n"/>
      <c r="J1364" s="13">
        <f>IF(N(F1364)&gt;0,G1364/F1364,"")</f>
        <v/>
      </c>
      <c r="K1364" s="10">
        <f>IF(N(G1364)&gt;0,E1364/G1364,"")</f>
        <v/>
      </c>
      <c r="L1364" s="10">
        <f>IF(N(H1364)&gt;0,E1364/H1364,"")</f>
        <v/>
      </c>
      <c r="M1364" s="11">
        <f>IF(N(E1364)&gt;0,I1364/E1364,"")</f>
        <v/>
      </c>
      <c r="N1364" s="10">
        <f>IF(AND(E1364="",I1364=""),"",N(I1364)*(1-COM-COM_SHOP)-N(E1364)*(1+IMP_META))</f>
        <v/>
      </c>
      <c r="O1364" s="37" t="n"/>
    </row>
    <row r="1365">
      <c r="A1365" s="36" t="n"/>
      <c r="B1365" s="37" t="n"/>
      <c r="C1365" s="37" t="n"/>
      <c r="D1365" s="38">
        <f>IF(C1365="","",IFERROR(INDEX(Anuncios!$B$6:$B$65,MATCH(C1365,Anuncios!$A$6:$A$65,0)),"(no está en Anuncios)"))</f>
        <v/>
      </c>
      <c r="E1365" s="39" t="n"/>
      <c r="F1365" s="40" t="n"/>
      <c r="G1365" s="40" t="n"/>
      <c r="H1365" s="40" t="n"/>
      <c r="I1365" s="39" t="n"/>
      <c r="J1365" s="13">
        <f>IF(N(F1365)&gt;0,G1365/F1365,"")</f>
        <v/>
      </c>
      <c r="K1365" s="10">
        <f>IF(N(G1365)&gt;0,E1365/G1365,"")</f>
        <v/>
      </c>
      <c r="L1365" s="10">
        <f>IF(N(H1365)&gt;0,E1365/H1365,"")</f>
        <v/>
      </c>
      <c r="M1365" s="11">
        <f>IF(N(E1365)&gt;0,I1365/E1365,"")</f>
        <v/>
      </c>
      <c r="N1365" s="10">
        <f>IF(AND(E1365="",I1365=""),"",N(I1365)*(1-COM-COM_SHOP)-N(E1365)*(1+IMP_META))</f>
        <v/>
      </c>
      <c r="O1365" s="37" t="n"/>
    </row>
    <row r="1366">
      <c r="A1366" s="36" t="n"/>
      <c r="B1366" s="37" t="n"/>
      <c r="C1366" s="37" t="n"/>
      <c r="D1366" s="38">
        <f>IF(C1366="","",IFERROR(INDEX(Anuncios!$B$6:$B$65,MATCH(C1366,Anuncios!$A$6:$A$65,0)),"(no está en Anuncios)"))</f>
        <v/>
      </c>
      <c r="E1366" s="39" t="n"/>
      <c r="F1366" s="40" t="n"/>
      <c r="G1366" s="40" t="n"/>
      <c r="H1366" s="40" t="n"/>
      <c r="I1366" s="39" t="n"/>
      <c r="J1366" s="13">
        <f>IF(N(F1366)&gt;0,G1366/F1366,"")</f>
        <v/>
      </c>
      <c r="K1366" s="10">
        <f>IF(N(G1366)&gt;0,E1366/G1366,"")</f>
        <v/>
      </c>
      <c r="L1366" s="10">
        <f>IF(N(H1366)&gt;0,E1366/H1366,"")</f>
        <v/>
      </c>
      <c r="M1366" s="11">
        <f>IF(N(E1366)&gt;0,I1366/E1366,"")</f>
        <v/>
      </c>
      <c r="N1366" s="10">
        <f>IF(AND(E1366="",I1366=""),"",N(I1366)*(1-COM-COM_SHOP)-N(E1366)*(1+IMP_META))</f>
        <v/>
      </c>
      <c r="O1366" s="37" t="n"/>
    </row>
    <row r="1367">
      <c r="A1367" s="36" t="n"/>
      <c r="B1367" s="37" t="n"/>
      <c r="C1367" s="37" t="n"/>
      <c r="D1367" s="38">
        <f>IF(C1367="","",IFERROR(INDEX(Anuncios!$B$6:$B$65,MATCH(C1367,Anuncios!$A$6:$A$65,0)),"(no está en Anuncios)"))</f>
        <v/>
      </c>
      <c r="E1367" s="39" t="n"/>
      <c r="F1367" s="40" t="n"/>
      <c r="G1367" s="40" t="n"/>
      <c r="H1367" s="40" t="n"/>
      <c r="I1367" s="39" t="n"/>
      <c r="J1367" s="13">
        <f>IF(N(F1367)&gt;0,G1367/F1367,"")</f>
        <v/>
      </c>
      <c r="K1367" s="10">
        <f>IF(N(G1367)&gt;0,E1367/G1367,"")</f>
        <v/>
      </c>
      <c r="L1367" s="10">
        <f>IF(N(H1367)&gt;0,E1367/H1367,"")</f>
        <v/>
      </c>
      <c r="M1367" s="11">
        <f>IF(N(E1367)&gt;0,I1367/E1367,"")</f>
        <v/>
      </c>
      <c r="N1367" s="10">
        <f>IF(AND(E1367="",I1367=""),"",N(I1367)*(1-COM-COM_SHOP)-N(E1367)*(1+IMP_META))</f>
        <v/>
      </c>
      <c r="O1367" s="37" t="n"/>
    </row>
    <row r="1368">
      <c r="A1368" s="36" t="n"/>
      <c r="B1368" s="37" t="n"/>
      <c r="C1368" s="37" t="n"/>
      <c r="D1368" s="38">
        <f>IF(C1368="","",IFERROR(INDEX(Anuncios!$B$6:$B$65,MATCH(C1368,Anuncios!$A$6:$A$65,0)),"(no está en Anuncios)"))</f>
        <v/>
      </c>
      <c r="E1368" s="39" t="n"/>
      <c r="F1368" s="40" t="n"/>
      <c r="G1368" s="40" t="n"/>
      <c r="H1368" s="40" t="n"/>
      <c r="I1368" s="39" t="n"/>
      <c r="J1368" s="13">
        <f>IF(N(F1368)&gt;0,G1368/F1368,"")</f>
        <v/>
      </c>
      <c r="K1368" s="10">
        <f>IF(N(G1368)&gt;0,E1368/G1368,"")</f>
        <v/>
      </c>
      <c r="L1368" s="10">
        <f>IF(N(H1368)&gt;0,E1368/H1368,"")</f>
        <v/>
      </c>
      <c r="M1368" s="11">
        <f>IF(N(E1368)&gt;0,I1368/E1368,"")</f>
        <v/>
      </c>
      <c r="N1368" s="10">
        <f>IF(AND(E1368="",I1368=""),"",N(I1368)*(1-COM-COM_SHOP)-N(E1368)*(1+IMP_META))</f>
        <v/>
      </c>
      <c r="O1368" s="37" t="n"/>
    </row>
    <row r="1369">
      <c r="A1369" s="36" t="n"/>
      <c r="B1369" s="37" t="n"/>
      <c r="C1369" s="37" t="n"/>
      <c r="D1369" s="38">
        <f>IF(C1369="","",IFERROR(INDEX(Anuncios!$B$6:$B$65,MATCH(C1369,Anuncios!$A$6:$A$65,0)),"(no está en Anuncios)"))</f>
        <v/>
      </c>
      <c r="E1369" s="39" t="n"/>
      <c r="F1369" s="40" t="n"/>
      <c r="G1369" s="40" t="n"/>
      <c r="H1369" s="40" t="n"/>
      <c r="I1369" s="39" t="n"/>
      <c r="J1369" s="13">
        <f>IF(N(F1369)&gt;0,G1369/F1369,"")</f>
        <v/>
      </c>
      <c r="K1369" s="10">
        <f>IF(N(G1369)&gt;0,E1369/G1369,"")</f>
        <v/>
      </c>
      <c r="L1369" s="10">
        <f>IF(N(H1369)&gt;0,E1369/H1369,"")</f>
        <v/>
      </c>
      <c r="M1369" s="11">
        <f>IF(N(E1369)&gt;0,I1369/E1369,"")</f>
        <v/>
      </c>
      <c r="N1369" s="10">
        <f>IF(AND(E1369="",I1369=""),"",N(I1369)*(1-COM-COM_SHOP)-N(E1369)*(1+IMP_META))</f>
        <v/>
      </c>
      <c r="O1369" s="37" t="n"/>
    </row>
    <row r="1370">
      <c r="A1370" s="36" t="n"/>
      <c r="B1370" s="37" t="n"/>
      <c r="C1370" s="37" t="n"/>
      <c r="D1370" s="38">
        <f>IF(C1370="","",IFERROR(INDEX(Anuncios!$B$6:$B$65,MATCH(C1370,Anuncios!$A$6:$A$65,0)),"(no está en Anuncios)"))</f>
        <v/>
      </c>
      <c r="E1370" s="39" t="n"/>
      <c r="F1370" s="40" t="n"/>
      <c r="G1370" s="40" t="n"/>
      <c r="H1370" s="40" t="n"/>
      <c r="I1370" s="39" t="n"/>
      <c r="J1370" s="13">
        <f>IF(N(F1370)&gt;0,G1370/F1370,"")</f>
        <v/>
      </c>
      <c r="K1370" s="10">
        <f>IF(N(G1370)&gt;0,E1370/G1370,"")</f>
        <v/>
      </c>
      <c r="L1370" s="10">
        <f>IF(N(H1370)&gt;0,E1370/H1370,"")</f>
        <v/>
      </c>
      <c r="M1370" s="11">
        <f>IF(N(E1370)&gt;0,I1370/E1370,"")</f>
        <v/>
      </c>
      <c r="N1370" s="10">
        <f>IF(AND(E1370="",I1370=""),"",N(I1370)*(1-COM-COM_SHOP)-N(E1370)*(1+IMP_META))</f>
        <v/>
      </c>
      <c r="O1370" s="37" t="n"/>
    </row>
    <row r="1371">
      <c r="A1371" s="36" t="n"/>
      <c r="B1371" s="37" t="n"/>
      <c r="C1371" s="37" t="n"/>
      <c r="D1371" s="38">
        <f>IF(C1371="","",IFERROR(INDEX(Anuncios!$B$6:$B$65,MATCH(C1371,Anuncios!$A$6:$A$65,0)),"(no está en Anuncios)"))</f>
        <v/>
      </c>
      <c r="E1371" s="39" t="n"/>
      <c r="F1371" s="40" t="n"/>
      <c r="G1371" s="40" t="n"/>
      <c r="H1371" s="40" t="n"/>
      <c r="I1371" s="39" t="n"/>
      <c r="J1371" s="13">
        <f>IF(N(F1371)&gt;0,G1371/F1371,"")</f>
        <v/>
      </c>
      <c r="K1371" s="10">
        <f>IF(N(G1371)&gt;0,E1371/G1371,"")</f>
        <v/>
      </c>
      <c r="L1371" s="10">
        <f>IF(N(H1371)&gt;0,E1371/H1371,"")</f>
        <v/>
      </c>
      <c r="M1371" s="11">
        <f>IF(N(E1371)&gt;0,I1371/E1371,"")</f>
        <v/>
      </c>
      <c r="N1371" s="10">
        <f>IF(AND(E1371="",I1371=""),"",N(I1371)*(1-COM-COM_SHOP)-N(E1371)*(1+IMP_META))</f>
        <v/>
      </c>
      <c r="O1371" s="37" t="n"/>
    </row>
    <row r="1372">
      <c r="A1372" s="36" t="n"/>
      <c r="B1372" s="37" t="n"/>
      <c r="C1372" s="37" t="n"/>
      <c r="D1372" s="38">
        <f>IF(C1372="","",IFERROR(INDEX(Anuncios!$B$6:$B$65,MATCH(C1372,Anuncios!$A$6:$A$65,0)),"(no está en Anuncios)"))</f>
        <v/>
      </c>
      <c r="E1372" s="39" t="n"/>
      <c r="F1372" s="40" t="n"/>
      <c r="G1372" s="40" t="n"/>
      <c r="H1372" s="40" t="n"/>
      <c r="I1372" s="39" t="n"/>
      <c r="J1372" s="13">
        <f>IF(N(F1372)&gt;0,G1372/F1372,"")</f>
        <v/>
      </c>
      <c r="K1372" s="10">
        <f>IF(N(G1372)&gt;0,E1372/G1372,"")</f>
        <v/>
      </c>
      <c r="L1372" s="10">
        <f>IF(N(H1372)&gt;0,E1372/H1372,"")</f>
        <v/>
      </c>
      <c r="M1372" s="11">
        <f>IF(N(E1372)&gt;0,I1372/E1372,"")</f>
        <v/>
      </c>
      <c r="N1372" s="10">
        <f>IF(AND(E1372="",I1372=""),"",N(I1372)*(1-COM-COM_SHOP)-N(E1372)*(1+IMP_META))</f>
        <v/>
      </c>
      <c r="O1372" s="37" t="n"/>
    </row>
    <row r="1373">
      <c r="A1373" s="36" t="n"/>
      <c r="B1373" s="37" t="n"/>
      <c r="C1373" s="37" t="n"/>
      <c r="D1373" s="38">
        <f>IF(C1373="","",IFERROR(INDEX(Anuncios!$B$6:$B$65,MATCH(C1373,Anuncios!$A$6:$A$65,0)),"(no está en Anuncios)"))</f>
        <v/>
      </c>
      <c r="E1373" s="39" t="n"/>
      <c r="F1373" s="40" t="n"/>
      <c r="G1373" s="40" t="n"/>
      <c r="H1373" s="40" t="n"/>
      <c r="I1373" s="39" t="n"/>
      <c r="J1373" s="13">
        <f>IF(N(F1373)&gt;0,G1373/F1373,"")</f>
        <v/>
      </c>
      <c r="K1373" s="10">
        <f>IF(N(G1373)&gt;0,E1373/G1373,"")</f>
        <v/>
      </c>
      <c r="L1373" s="10">
        <f>IF(N(H1373)&gt;0,E1373/H1373,"")</f>
        <v/>
      </c>
      <c r="M1373" s="11">
        <f>IF(N(E1373)&gt;0,I1373/E1373,"")</f>
        <v/>
      </c>
      <c r="N1373" s="10">
        <f>IF(AND(E1373="",I1373=""),"",N(I1373)*(1-COM-COM_SHOP)-N(E1373)*(1+IMP_META))</f>
        <v/>
      </c>
      <c r="O1373" s="37" t="n"/>
    </row>
    <row r="1374">
      <c r="A1374" s="36" t="n"/>
      <c r="B1374" s="37" t="n"/>
      <c r="C1374" s="37" t="n"/>
      <c r="D1374" s="38">
        <f>IF(C1374="","",IFERROR(INDEX(Anuncios!$B$6:$B$65,MATCH(C1374,Anuncios!$A$6:$A$65,0)),"(no está en Anuncios)"))</f>
        <v/>
      </c>
      <c r="E1374" s="39" t="n"/>
      <c r="F1374" s="40" t="n"/>
      <c r="G1374" s="40" t="n"/>
      <c r="H1374" s="40" t="n"/>
      <c r="I1374" s="39" t="n"/>
      <c r="J1374" s="13">
        <f>IF(N(F1374)&gt;0,G1374/F1374,"")</f>
        <v/>
      </c>
      <c r="K1374" s="10">
        <f>IF(N(G1374)&gt;0,E1374/G1374,"")</f>
        <v/>
      </c>
      <c r="L1374" s="10">
        <f>IF(N(H1374)&gt;0,E1374/H1374,"")</f>
        <v/>
      </c>
      <c r="M1374" s="11">
        <f>IF(N(E1374)&gt;0,I1374/E1374,"")</f>
        <v/>
      </c>
      <c r="N1374" s="10">
        <f>IF(AND(E1374="",I1374=""),"",N(I1374)*(1-COM-COM_SHOP)-N(E1374)*(1+IMP_META))</f>
        <v/>
      </c>
      <c r="O1374" s="37" t="n"/>
    </row>
    <row r="1375">
      <c r="A1375" s="36" t="n"/>
      <c r="B1375" s="37" t="n"/>
      <c r="C1375" s="37" t="n"/>
      <c r="D1375" s="38">
        <f>IF(C1375="","",IFERROR(INDEX(Anuncios!$B$6:$B$65,MATCH(C1375,Anuncios!$A$6:$A$65,0)),"(no está en Anuncios)"))</f>
        <v/>
      </c>
      <c r="E1375" s="39" t="n"/>
      <c r="F1375" s="40" t="n"/>
      <c r="G1375" s="40" t="n"/>
      <c r="H1375" s="40" t="n"/>
      <c r="I1375" s="39" t="n"/>
      <c r="J1375" s="13">
        <f>IF(N(F1375)&gt;0,G1375/F1375,"")</f>
        <v/>
      </c>
      <c r="K1375" s="10">
        <f>IF(N(G1375)&gt;0,E1375/G1375,"")</f>
        <v/>
      </c>
      <c r="L1375" s="10">
        <f>IF(N(H1375)&gt;0,E1375/H1375,"")</f>
        <v/>
      </c>
      <c r="M1375" s="11">
        <f>IF(N(E1375)&gt;0,I1375/E1375,"")</f>
        <v/>
      </c>
      <c r="N1375" s="10">
        <f>IF(AND(E1375="",I1375=""),"",N(I1375)*(1-COM-COM_SHOP)-N(E1375)*(1+IMP_META))</f>
        <v/>
      </c>
      <c r="O1375" s="37" t="n"/>
    </row>
    <row r="1376">
      <c r="A1376" s="36" t="n"/>
      <c r="B1376" s="37" t="n"/>
      <c r="C1376" s="37" t="n"/>
      <c r="D1376" s="38">
        <f>IF(C1376="","",IFERROR(INDEX(Anuncios!$B$6:$B$65,MATCH(C1376,Anuncios!$A$6:$A$65,0)),"(no está en Anuncios)"))</f>
        <v/>
      </c>
      <c r="E1376" s="39" t="n"/>
      <c r="F1376" s="40" t="n"/>
      <c r="G1376" s="40" t="n"/>
      <c r="H1376" s="40" t="n"/>
      <c r="I1376" s="39" t="n"/>
      <c r="J1376" s="13">
        <f>IF(N(F1376)&gt;0,G1376/F1376,"")</f>
        <v/>
      </c>
      <c r="K1376" s="10">
        <f>IF(N(G1376)&gt;0,E1376/G1376,"")</f>
        <v/>
      </c>
      <c r="L1376" s="10">
        <f>IF(N(H1376)&gt;0,E1376/H1376,"")</f>
        <v/>
      </c>
      <c r="M1376" s="11">
        <f>IF(N(E1376)&gt;0,I1376/E1376,"")</f>
        <v/>
      </c>
      <c r="N1376" s="10">
        <f>IF(AND(E1376="",I1376=""),"",N(I1376)*(1-COM-COM_SHOP)-N(E1376)*(1+IMP_META))</f>
        <v/>
      </c>
      <c r="O1376" s="37" t="n"/>
    </row>
    <row r="1377">
      <c r="A1377" s="36" t="n"/>
      <c r="B1377" s="37" t="n"/>
      <c r="C1377" s="37" t="n"/>
      <c r="D1377" s="38">
        <f>IF(C1377="","",IFERROR(INDEX(Anuncios!$B$6:$B$65,MATCH(C1377,Anuncios!$A$6:$A$65,0)),"(no está en Anuncios)"))</f>
        <v/>
      </c>
      <c r="E1377" s="39" t="n"/>
      <c r="F1377" s="40" t="n"/>
      <c r="G1377" s="40" t="n"/>
      <c r="H1377" s="40" t="n"/>
      <c r="I1377" s="39" t="n"/>
      <c r="J1377" s="13">
        <f>IF(N(F1377)&gt;0,G1377/F1377,"")</f>
        <v/>
      </c>
      <c r="K1377" s="10">
        <f>IF(N(G1377)&gt;0,E1377/G1377,"")</f>
        <v/>
      </c>
      <c r="L1377" s="10">
        <f>IF(N(H1377)&gt;0,E1377/H1377,"")</f>
        <v/>
      </c>
      <c r="M1377" s="11">
        <f>IF(N(E1377)&gt;0,I1377/E1377,"")</f>
        <v/>
      </c>
      <c r="N1377" s="10">
        <f>IF(AND(E1377="",I1377=""),"",N(I1377)*(1-COM-COM_SHOP)-N(E1377)*(1+IMP_META))</f>
        <v/>
      </c>
      <c r="O1377" s="37" t="n"/>
    </row>
    <row r="1378">
      <c r="A1378" s="36" t="n"/>
      <c r="B1378" s="37" t="n"/>
      <c r="C1378" s="37" t="n"/>
      <c r="D1378" s="38">
        <f>IF(C1378="","",IFERROR(INDEX(Anuncios!$B$6:$B$65,MATCH(C1378,Anuncios!$A$6:$A$65,0)),"(no está en Anuncios)"))</f>
        <v/>
      </c>
      <c r="E1378" s="39" t="n"/>
      <c r="F1378" s="40" t="n"/>
      <c r="G1378" s="40" t="n"/>
      <c r="H1378" s="40" t="n"/>
      <c r="I1378" s="39" t="n"/>
      <c r="J1378" s="13">
        <f>IF(N(F1378)&gt;0,G1378/F1378,"")</f>
        <v/>
      </c>
      <c r="K1378" s="10">
        <f>IF(N(G1378)&gt;0,E1378/G1378,"")</f>
        <v/>
      </c>
      <c r="L1378" s="10">
        <f>IF(N(H1378)&gt;0,E1378/H1378,"")</f>
        <v/>
      </c>
      <c r="M1378" s="11">
        <f>IF(N(E1378)&gt;0,I1378/E1378,"")</f>
        <v/>
      </c>
      <c r="N1378" s="10">
        <f>IF(AND(E1378="",I1378=""),"",N(I1378)*(1-COM-COM_SHOP)-N(E1378)*(1+IMP_META))</f>
        <v/>
      </c>
      <c r="O1378" s="37" t="n"/>
    </row>
    <row r="1379">
      <c r="A1379" s="36" t="n"/>
      <c r="B1379" s="37" t="n"/>
      <c r="C1379" s="37" t="n"/>
      <c r="D1379" s="38">
        <f>IF(C1379="","",IFERROR(INDEX(Anuncios!$B$6:$B$65,MATCH(C1379,Anuncios!$A$6:$A$65,0)),"(no está en Anuncios)"))</f>
        <v/>
      </c>
      <c r="E1379" s="39" t="n"/>
      <c r="F1379" s="40" t="n"/>
      <c r="G1379" s="40" t="n"/>
      <c r="H1379" s="40" t="n"/>
      <c r="I1379" s="39" t="n"/>
      <c r="J1379" s="13">
        <f>IF(N(F1379)&gt;0,G1379/F1379,"")</f>
        <v/>
      </c>
      <c r="K1379" s="10">
        <f>IF(N(G1379)&gt;0,E1379/G1379,"")</f>
        <v/>
      </c>
      <c r="L1379" s="10">
        <f>IF(N(H1379)&gt;0,E1379/H1379,"")</f>
        <v/>
      </c>
      <c r="M1379" s="11">
        <f>IF(N(E1379)&gt;0,I1379/E1379,"")</f>
        <v/>
      </c>
      <c r="N1379" s="10">
        <f>IF(AND(E1379="",I1379=""),"",N(I1379)*(1-COM-COM_SHOP)-N(E1379)*(1+IMP_META))</f>
        <v/>
      </c>
      <c r="O1379" s="37" t="n"/>
    </row>
    <row r="1380">
      <c r="A1380" s="36" t="n"/>
      <c r="B1380" s="37" t="n"/>
      <c r="C1380" s="37" t="n"/>
      <c r="D1380" s="38">
        <f>IF(C1380="","",IFERROR(INDEX(Anuncios!$B$6:$B$65,MATCH(C1380,Anuncios!$A$6:$A$65,0)),"(no está en Anuncios)"))</f>
        <v/>
      </c>
      <c r="E1380" s="39" t="n"/>
      <c r="F1380" s="40" t="n"/>
      <c r="G1380" s="40" t="n"/>
      <c r="H1380" s="40" t="n"/>
      <c r="I1380" s="39" t="n"/>
      <c r="J1380" s="13">
        <f>IF(N(F1380)&gt;0,G1380/F1380,"")</f>
        <v/>
      </c>
      <c r="K1380" s="10">
        <f>IF(N(G1380)&gt;0,E1380/G1380,"")</f>
        <v/>
      </c>
      <c r="L1380" s="10">
        <f>IF(N(H1380)&gt;0,E1380/H1380,"")</f>
        <v/>
      </c>
      <c r="M1380" s="11">
        <f>IF(N(E1380)&gt;0,I1380/E1380,"")</f>
        <v/>
      </c>
      <c r="N1380" s="10">
        <f>IF(AND(E1380="",I1380=""),"",N(I1380)*(1-COM-COM_SHOP)-N(E1380)*(1+IMP_META))</f>
        <v/>
      </c>
      <c r="O1380" s="37" t="n"/>
    </row>
    <row r="1381">
      <c r="A1381" s="36" t="n"/>
      <c r="B1381" s="37" t="n"/>
      <c r="C1381" s="37" t="n"/>
      <c r="D1381" s="38">
        <f>IF(C1381="","",IFERROR(INDEX(Anuncios!$B$6:$B$65,MATCH(C1381,Anuncios!$A$6:$A$65,0)),"(no está en Anuncios)"))</f>
        <v/>
      </c>
      <c r="E1381" s="39" t="n"/>
      <c r="F1381" s="40" t="n"/>
      <c r="G1381" s="40" t="n"/>
      <c r="H1381" s="40" t="n"/>
      <c r="I1381" s="39" t="n"/>
      <c r="J1381" s="13">
        <f>IF(N(F1381)&gt;0,G1381/F1381,"")</f>
        <v/>
      </c>
      <c r="K1381" s="10">
        <f>IF(N(G1381)&gt;0,E1381/G1381,"")</f>
        <v/>
      </c>
      <c r="L1381" s="10">
        <f>IF(N(H1381)&gt;0,E1381/H1381,"")</f>
        <v/>
      </c>
      <c r="M1381" s="11">
        <f>IF(N(E1381)&gt;0,I1381/E1381,"")</f>
        <v/>
      </c>
      <c r="N1381" s="10">
        <f>IF(AND(E1381="",I1381=""),"",N(I1381)*(1-COM-COM_SHOP)-N(E1381)*(1+IMP_META))</f>
        <v/>
      </c>
      <c r="O1381" s="37" t="n"/>
    </row>
    <row r="1382">
      <c r="A1382" s="36" t="n"/>
      <c r="B1382" s="37" t="n"/>
      <c r="C1382" s="37" t="n"/>
      <c r="D1382" s="38">
        <f>IF(C1382="","",IFERROR(INDEX(Anuncios!$B$6:$B$65,MATCH(C1382,Anuncios!$A$6:$A$65,0)),"(no está en Anuncios)"))</f>
        <v/>
      </c>
      <c r="E1382" s="39" t="n"/>
      <c r="F1382" s="40" t="n"/>
      <c r="G1382" s="40" t="n"/>
      <c r="H1382" s="40" t="n"/>
      <c r="I1382" s="39" t="n"/>
      <c r="J1382" s="13">
        <f>IF(N(F1382)&gt;0,G1382/F1382,"")</f>
        <v/>
      </c>
      <c r="K1382" s="10">
        <f>IF(N(G1382)&gt;0,E1382/G1382,"")</f>
        <v/>
      </c>
      <c r="L1382" s="10">
        <f>IF(N(H1382)&gt;0,E1382/H1382,"")</f>
        <v/>
      </c>
      <c r="M1382" s="11">
        <f>IF(N(E1382)&gt;0,I1382/E1382,"")</f>
        <v/>
      </c>
      <c r="N1382" s="10">
        <f>IF(AND(E1382="",I1382=""),"",N(I1382)*(1-COM-COM_SHOP)-N(E1382)*(1+IMP_META))</f>
        <v/>
      </c>
      <c r="O1382" s="37" t="n"/>
    </row>
    <row r="1383">
      <c r="A1383" s="36" t="n"/>
      <c r="B1383" s="37" t="n"/>
      <c r="C1383" s="37" t="n"/>
      <c r="D1383" s="38">
        <f>IF(C1383="","",IFERROR(INDEX(Anuncios!$B$6:$B$65,MATCH(C1383,Anuncios!$A$6:$A$65,0)),"(no está en Anuncios)"))</f>
        <v/>
      </c>
      <c r="E1383" s="39" t="n"/>
      <c r="F1383" s="40" t="n"/>
      <c r="G1383" s="40" t="n"/>
      <c r="H1383" s="40" t="n"/>
      <c r="I1383" s="39" t="n"/>
      <c r="J1383" s="13">
        <f>IF(N(F1383)&gt;0,G1383/F1383,"")</f>
        <v/>
      </c>
      <c r="K1383" s="10">
        <f>IF(N(G1383)&gt;0,E1383/G1383,"")</f>
        <v/>
      </c>
      <c r="L1383" s="10">
        <f>IF(N(H1383)&gt;0,E1383/H1383,"")</f>
        <v/>
      </c>
      <c r="M1383" s="11">
        <f>IF(N(E1383)&gt;0,I1383/E1383,"")</f>
        <v/>
      </c>
      <c r="N1383" s="10">
        <f>IF(AND(E1383="",I1383=""),"",N(I1383)*(1-COM-COM_SHOP)-N(E1383)*(1+IMP_META))</f>
        <v/>
      </c>
      <c r="O1383" s="37" t="n"/>
    </row>
    <row r="1384">
      <c r="A1384" s="36" t="n"/>
      <c r="B1384" s="37" t="n"/>
      <c r="C1384" s="37" t="n"/>
      <c r="D1384" s="38">
        <f>IF(C1384="","",IFERROR(INDEX(Anuncios!$B$6:$B$65,MATCH(C1384,Anuncios!$A$6:$A$65,0)),"(no está en Anuncios)"))</f>
        <v/>
      </c>
      <c r="E1384" s="39" t="n"/>
      <c r="F1384" s="40" t="n"/>
      <c r="G1384" s="40" t="n"/>
      <c r="H1384" s="40" t="n"/>
      <c r="I1384" s="39" t="n"/>
      <c r="J1384" s="13">
        <f>IF(N(F1384)&gt;0,G1384/F1384,"")</f>
        <v/>
      </c>
      <c r="K1384" s="10">
        <f>IF(N(G1384)&gt;0,E1384/G1384,"")</f>
        <v/>
      </c>
      <c r="L1384" s="10">
        <f>IF(N(H1384)&gt;0,E1384/H1384,"")</f>
        <v/>
      </c>
      <c r="M1384" s="11">
        <f>IF(N(E1384)&gt;0,I1384/E1384,"")</f>
        <v/>
      </c>
      <c r="N1384" s="10">
        <f>IF(AND(E1384="",I1384=""),"",N(I1384)*(1-COM-COM_SHOP)-N(E1384)*(1+IMP_META))</f>
        <v/>
      </c>
      <c r="O1384" s="37" t="n"/>
    </row>
    <row r="1385">
      <c r="A1385" s="36" t="n"/>
      <c r="B1385" s="37" t="n"/>
      <c r="C1385" s="37" t="n"/>
      <c r="D1385" s="38">
        <f>IF(C1385="","",IFERROR(INDEX(Anuncios!$B$6:$B$65,MATCH(C1385,Anuncios!$A$6:$A$65,0)),"(no está en Anuncios)"))</f>
        <v/>
      </c>
      <c r="E1385" s="39" t="n"/>
      <c r="F1385" s="40" t="n"/>
      <c r="G1385" s="40" t="n"/>
      <c r="H1385" s="40" t="n"/>
      <c r="I1385" s="39" t="n"/>
      <c r="J1385" s="13">
        <f>IF(N(F1385)&gt;0,G1385/F1385,"")</f>
        <v/>
      </c>
      <c r="K1385" s="10">
        <f>IF(N(G1385)&gt;0,E1385/G1385,"")</f>
        <v/>
      </c>
      <c r="L1385" s="10">
        <f>IF(N(H1385)&gt;0,E1385/H1385,"")</f>
        <v/>
      </c>
      <c r="M1385" s="11">
        <f>IF(N(E1385)&gt;0,I1385/E1385,"")</f>
        <v/>
      </c>
      <c r="N1385" s="10">
        <f>IF(AND(E1385="",I1385=""),"",N(I1385)*(1-COM-COM_SHOP)-N(E1385)*(1+IMP_META))</f>
        <v/>
      </c>
      <c r="O1385" s="37" t="n"/>
    </row>
    <row r="1386">
      <c r="A1386" s="36" t="n"/>
      <c r="B1386" s="37" t="n"/>
      <c r="C1386" s="37" t="n"/>
      <c r="D1386" s="38">
        <f>IF(C1386="","",IFERROR(INDEX(Anuncios!$B$6:$B$65,MATCH(C1386,Anuncios!$A$6:$A$65,0)),"(no está en Anuncios)"))</f>
        <v/>
      </c>
      <c r="E1386" s="39" t="n"/>
      <c r="F1386" s="40" t="n"/>
      <c r="G1386" s="40" t="n"/>
      <c r="H1386" s="40" t="n"/>
      <c r="I1386" s="39" t="n"/>
      <c r="J1386" s="13">
        <f>IF(N(F1386)&gt;0,G1386/F1386,"")</f>
        <v/>
      </c>
      <c r="K1386" s="10">
        <f>IF(N(G1386)&gt;0,E1386/G1386,"")</f>
        <v/>
      </c>
      <c r="L1386" s="10">
        <f>IF(N(H1386)&gt;0,E1386/H1386,"")</f>
        <v/>
      </c>
      <c r="M1386" s="11">
        <f>IF(N(E1386)&gt;0,I1386/E1386,"")</f>
        <v/>
      </c>
      <c r="N1386" s="10">
        <f>IF(AND(E1386="",I1386=""),"",N(I1386)*(1-COM-COM_SHOP)-N(E1386)*(1+IMP_META))</f>
        <v/>
      </c>
      <c r="O1386" s="37" t="n"/>
    </row>
    <row r="1387">
      <c r="A1387" s="36" t="n"/>
      <c r="B1387" s="37" t="n"/>
      <c r="C1387" s="37" t="n"/>
      <c r="D1387" s="38">
        <f>IF(C1387="","",IFERROR(INDEX(Anuncios!$B$6:$B$65,MATCH(C1387,Anuncios!$A$6:$A$65,0)),"(no está en Anuncios)"))</f>
        <v/>
      </c>
      <c r="E1387" s="39" t="n"/>
      <c r="F1387" s="40" t="n"/>
      <c r="G1387" s="40" t="n"/>
      <c r="H1387" s="40" t="n"/>
      <c r="I1387" s="39" t="n"/>
      <c r="J1387" s="13">
        <f>IF(N(F1387)&gt;0,G1387/F1387,"")</f>
        <v/>
      </c>
      <c r="K1387" s="10">
        <f>IF(N(G1387)&gt;0,E1387/G1387,"")</f>
        <v/>
      </c>
      <c r="L1387" s="10">
        <f>IF(N(H1387)&gt;0,E1387/H1387,"")</f>
        <v/>
      </c>
      <c r="M1387" s="11">
        <f>IF(N(E1387)&gt;0,I1387/E1387,"")</f>
        <v/>
      </c>
      <c r="N1387" s="10">
        <f>IF(AND(E1387="",I1387=""),"",N(I1387)*(1-COM-COM_SHOP)-N(E1387)*(1+IMP_META))</f>
        <v/>
      </c>
      <c r="O1387" s="37" t="n"/>
    </row>
    <row r="1388">
      <c r="A1388" s="36" t="n"/>
      <c r="B1388" s="37" t="n"/>
      <c r="C1388" s="37" t="n"/>
      <c r="D1388" s="38">
        <f>IF(C1388="","",IFERROR(INDEX(Anuncios!$B$6:$B$65,MATCH(C1388,Anuncios!$A$6:$A$65,0)),"(no está en Anuncios)"))</f>
        <v/>
      </c>
      <c r="E1388" s="39" t="n"/>
      <c r="F1388" s="40" t="n"/>
      <c r="G1388" s="40" t="n"/>
      <c r="H1388" s="40" t="n"/>
      <c r="I1388" s="39" t="n"/>
      <c r="J1388" s="13">
        <f>IF(N(F1388)&gt;0,G1388/F1388,"")</f>
        <v/>
      </c>
      <c r="K1388" s="10">
        <f>IF(N(G1388)&gt;0,E1388/G1388,"")</f>
        <v/>
      </c>
      <c r="L1388" s="10">
        <f>IF(N(H1388)&gt;0,E1388/H1388,"")</f>
        <v/>
      </c>
      <c r="M1388" s="11">
        <f>IF(N(E1388)&gt;0,I1388/E1388,"")</f>
        <v/>
      </c>
      <c r="N1388" s="10">
        <f>IF(AND(E1388="",I1388=""),"",N(I1388)*(1-COM-COM_SHOP)-N(E1388)*(1+IMP_META))</f>
        <v/>
      </c>
      <c r="O1388" s="37" t="n"/>
    </row>
    <row r="1389">
      <c r="A1389" s="36" t="n"/>
      <c r="B1389" s="37" t="n"/>
      <c r="C1389" s="37" t="n"/>
      <c r="D1389" s="38">
        <f>IF(C1389="","",IFERROR(INDEX(Anuncios!$B$6:$B$65,MATCH(C1389,Anuncios!$A$6:$A$65,0)),"(no está en Anuncios)"))</f>
        <v/>
      </c>
      <c r="E1389" s="39" t="n"/>
      <c r="F1389" s="40" t="n"/>
      <c r="G1389" s="40" t="n"/>
      <c r="H1389" s="40" t="n"/>
      <c r="I1389" s="39" t="n"/>
      <c r="J1389" s="13">
        <f>IF(N(F1389)&gt;0,G1389/F1389,"")</f>
        <v/>
      </c>
      <c r="K1389" s="10">
        <f>IF(N(G1389)&gt;0,E1389/G1389,"")</f>
        <v/>
      </c>
      <c r="L1389" s="10">
        <f>IF(N(H1389)&gt;0,E1389/H1389,"")</f>
        <v/>
      </c>
      <c r="M1389" s="11">
        <f>IF(N(E1389)&gt;0,I1389/E1389,"")</f>
        <v/>
      </c>
      <c r="N1389" s="10">
        <f>IF(AND(E1389="",I1389=""),"",N(I1389)*(1-COM-COM_SHOP)-N(E1389)*(1+IMP_META))</f>
        <v/>
      </c>
      <c r="O1389" s="37" t="n"/>
    </row>
    <row r="1390">
      <c r="A1390" s="36" t="n"/>
      <c r="B1390" s="37" t="n"/>
      <c r="C1390" s="37" t="n"/>
      <c r="D1390" s="38">
        <f>IF(C1390="","",IFERROR(INDEX(Anuncios!$B$6:$B$65,MATCH(C1390,Anuncios!$A$6:$A$65,0)),"(no está en Anuncios)"))</f>
        <v/>
      </c>
      <c r="E1390" s="39" t="n"/>
      <c r="F1390" s="40" t="n"/>
      <c r="G1390" s="40" t="n"/>
      <c r="H1390" s="40" t="n"/>
      <c r="I1390" s="39" t="n"/>
      <c r="J1390" s="13">
        <f>IF(N(F1390)&gt;0,G1390/F1390,"")</f>
        <v/>
      </c>
      <c r="K1390" s="10">
        <f>IF(N(G1390)&gt;0,E1390/G1390,"")</f>
        <v/>
      </c>
      <c r="L1390" s="10">
        <f>IF(N(H1390)&gt;0,E1390/H1390,"")</f>
        <v/>
      </c>
      <c r="M1390" s="11">
        <f>IF(N(E1390)&gt;0,I1390/E1390,"")</f>
        <v/>
      </c>
      <c r="N1390" s="10">
        <f>IF(AND(E1390="",I1390=""),"",N(I1390)*(1-COM-COM_SHOP)-N(E1390)*(1+IMP_META))</f>
        <v/>
      </c>
      <c r="O1390" s="37" t="n"/>
    </row>
    <row r="1391">
      <c r="A1391" s="36" t="n"/>
      <c r="B1391" s="37" t="n"/>
      <c r="C1391" s="37" t="n"/>
      <c r="D1391" s="38">
        <f>IF(C1391="","",IFERROR(INDEX(Anuncios!$B$6:$B$65,MATCH(C1391,Anuncios!$A$6:$A$65,0)),"(no está en Anuncios)"))</f>
        <v/>
      </c>
      <c r="E1391" s="39" t="n"/>
      <c r="F1391" s="40" t="n"/>
      <c r="G1391" s="40" t="n"/>
      <c r="H1391" s="40" t="n"/>
      <c r="I1391" s="39" t="n"/>
      <c r="J1391" s="13">
        <f>IF(N(F1391)&gt;0,G1391/F1391,"")</f>
        <v/>
      </c>
      <c r="K1391" s="10">
        <f>IF(N(G1391)&gt;0,E1391/G1391,"")</f>
        <v/>
      </c>
      <c r="L1391" s="10">
        <f>IF(N(H1391)&gt;0,E1391/H1391,"")</f>
        <v/>
      </c>
      <c r="M1391" s="11">
        <f>IF(N(E1391)&gt;0,I1391/E1391,"")</f>
        <v/>
      </c>
      <c r="N1391" s="10">
        <f>IF(AND(E1391="",I1391=""),"",N(I1391)*(1-COM-COM_SHOP)-N(E1391)*(1+IMP_META))</f>
        <v/>
      </c>
      <c r="O1391" s="37" t="n"/>
    </row>
    <row r="1392">
      <c r="A1392" s="36" t="n"/>
      <c r="B1392" s="37" t="n"/>
      <c r="C1392" s="37" t="n"/>
      <c r="D1392" s="38">
        <f>IF(C1392="","",IFERROR(INDEX(Anuncios!$B$6:$B$65,MATCH(C1392,Anuncios!$A$6:$A$65,0)),"(no está en Anuncios)"))</f>
        <v/>
      </c>
      <c r="E1392" s="39" t="n"/>
      <c r="F1392" s="40" t="n"/>
      <c r="G1392" s="40" t="n"/>
      <c r="H1392" s="40" t="n"/>
      <c r="I1392" s="39" t="n"/>
      <c r="J1392" s="13">
        <f>IF(N(F1392)&gt;0,G1392/F1392,"")</f>
        <v/>
      </c>
      <c r="K1392" s="10">
        <f>IF(N(G1392)&gt;0,E1392/G1392,"")</f>
        <v/>
      </c>
      <c r="L1392" s="10">
        <f>IF(N(H1392)&gt;0,E1392/H1392,"")</f>
        <v/>
      </c>
      <c r="M1392" s="11">
        <f>IF(N(E1392)&gt;0,I1392/E1392,"")</f>
        <v/>
      </c>
      <c r="N1392" s="10">
        <f>IF(AND(E1392="",I1392=""),"",N(I1392)*(1-COM-COM_SHOP)-N(E1392)*(1+IMP_META))</f>
        <v/>
      </c>
      <c r="O1392" s="37" t="n"/>
    </row>
    <row r="1393">
      <c r="A1393" s="36" t="n"/>
      <c r="B1393" s="37" t="n"/>
      <c r="C1393" s="37" t="n"/>
      <c r="D1393" s="38">
        <f>IF(C1393="","",IFERROR(INDEX(Anuncios!$B$6:$B$65,MATCH(C1393,Anuncios!$A$6:$A$65,0)),"(no está en Anuncios)"))</f>
        <v/>
      </c>
      <c r="E1393" s="39" t="n"/>
      <c r="F1393" s="40" t="n"/>
      <c r="G1393" s="40" t="n"/>
      <c r="H1393" s="40" t="n"/>
      <c r="I1393" s="39" t="n"/>
      <c r="J1393" s="13">
        <f>IF(N(F1393)&gt;0,G1393/F1393,"")</f>
        <v/>
      </c>
      <c r="K1393" s="10">
        <f>IF(N(G1393)&gt;0,E1393/G1393,"")</f>
        <v/>
      </c>
      <c r="L1393" s="10">
        <f>IF(N(H1393)&gt;0,E1393/H1393,"")</f>
        <v/>
      </c>
      <c r="M1393" s="11">
        <f>IF(N(E1393)&gt;0,I1393/E1393,"")</f>
        <v/>
      </c>
      <c r="N1393" s="10">
        <f>IF(AND(E1393="",I1393=""),"",N(I1393)*(1-COM-COM_SHOP)-N(E1393)*(1+IMP_META))</f>
        <v/>
      </c>
      <c r="O1393" s="37" t="n"/>
    </row>
    <row r="1394">
      <c r="A1394" s="36" t="n"/>
      <c r="B1394" s="37" t="n"/>
      <c r="C1394" s="37" t="n"/>
      <c r="D1394" s="38">
        <f>IF(C1394="","",IFERROR(INDEX(Anuncios!$B$6:$B$65,MATCH(C1394,Anuncios!$A$6:$A$65,0)),"(no está en Anuncios)"))</f>
        <v/>
      </c>
      <c r="E1394" s="39" t="n"/>
      <c r="F1394" s="40" t="n"/>
      <c r="G1394" s="40" t="n"/>
      <c r="H1394" s="40" t="n"/>
      <c r="I1394" s="39" t="n"/>
      <c r="J1394" s="13">
        <f>IF(N(F1394)&gt;0,G1394/F1394,"")</f>
        <v/>
      </c>
      <c r="K1394" s="10">
        <f>IF(N(G1394)&gt;0,E1394/G1394,"")</f>
        <v/>
      </c>
      <c r="L1394" s="10">
        <f>IF(N(H1394)&gt;0,E1394/H1394,"")</f>
        <v/>
      </c>
      <c r="M1394" s="11">
        <f>IF(N(E1394)&gt;0,I1394/E1394,"")</f>
        <v/>
      </c>
      <c r="N1394" s="10">
        <f>IF(AND(E1394="",I1394=""),"",N(I1394)*(1-COM-COM_SHOP)-N(E1394)*(1+IMP_META))</f>
        <v/>
      </c>
      <c r="O1394" s="37" t="n"/>
    </row>
    <row r="1395">
      <c r="A1395" s="36" t="n"/>
      <c r="B1395" s="37" t="n"/>
      <c r="C1395" s="37" t="n"/>
      <c r="D1395" s="38">
        <f>IF(C1395="","",IFERROR(INDEX(Anuncios!$B$6:$B$65,MATCH(C1395,Anuncios!$A$6:$A$65,0)),"(no está en Anuncios)"))</f>
        <v/>
      </c>
      <c r="E1395" s="39" t="n"/>
      <c r="F1395" s="40" t="n"/>
      <c r="G1395" s="40" t="n"/>
      <c r="H1395" s="40" t="n"/>
      <c r="I1395" s="39" t="n"/>
      <c r="J1395" s="13">
        <f>IF(N(F1395)&gt;0,G1395/F1395,"")</f>
        <v/>
      </c>
      <c r="K1395" s="10">
        <f>IF(N(G1395)&gt;0,E1395/G1395,"")</f>
        <v/>
      </c>
      <c r="L1395" s="10">
        <f>IF(N(H1395)&gt;0,E1395/H1395,"")</f>
        <v/>
      </c>
      <c r="M1395" s="11">
        <f>IF(N(E1395)&gt;0,I1395/E1395,"")</f>
        <v/>
      </c>
      <c r="N1395" s="10">
        <f>IF(AND(E1395="",I1395=""),"",N(I1395)*(1-COM-COM_SHOP)-N(E1395)*(1+IMP_META))</f>
        <v/>
      </c>
      <c r="O1395" s="37" t="n"/>
    </row>
    <row r="1396">
      <c r="A1396" s="36" t="n"/>
      <c r="B1396" s="37" t="n"/>
      <c r="C1396" s="37" t="n"/>
      <c r="D1396" s="38">
        <f>IF(C1396="","",IFERROR(INDEX(Anuncios!$B$6:$B$65,MATCH(C1396,Anuncios!$A$6:$A$65,0)),"(no está en Anuncios)"))</f>
        <v/>
      </c>
      <c r="E1396" s="39" t="n"/>
      <c r="F1396" s="40" t="n"/>
      <c r="G1396" s="40" t="n"/>
      <c r="H1396" s="40" t="n"/>
      <c r="I1396" s="39" t="n"/>
      <c r="J1396" s="13">
        <f>IF(N(F1396)&gt;0,G1396/F1396,"")</f>
        <v/>
      </c>
      <c r="K1396" s="10">
        <f>IF(N(G1396)&gt;0,E1396/G1396,"")</f>
        <v/>
      </c>
      <c r="L1396" s="10">
        <f>IF(N(H1396)&gt;0,E1396/H1396,"")</f>
        <v/>
      </c>
      <c r="M1396" s="11">
        <f>IF(N(E1396)&gt;0,I1396/E1396,"")</f>
        <v/>
      </c>
      <c r="N1396" s="10">
        <f>IF(AND(E1396="",I1396=""),"",N(I1396)*(1-COM-COM_SHOP)-N(E1396)*(1+IMP_META))</f>
        <v/>
      </c>
      <c r="O1396" s="37" t="n"/>
    </row>
    <row r="1397">
      <c r="A1397" s="36" t="n"/>
      <c r="B1397" s="37" t="n"/>
      <c r="C1397" s="37" t="n"/>
      <c r="D1397" s="38">
        <f>IF(C1397="","",IFERROR(INDEX(Anuncios!$B$6:$B$65,MATCH(C1397,Anuncios!$A$6:$A$65,0)),"(no está en Anuncios)"))</f>
        <v/>
      </c>
      <c r="E1397" s="39" t="n"/>
      <c r="F1397" s="40" t="n"/>
      <c r="G1397" s="40" t="n"/>
      <c r="H1397" s="40" t="n"/>
      <c r="I1397" s="39" t="n"/>
      <c r="J1397" s="13">
        <f>IF(N(F1397)&gt;0,G1397/F1397,"")</f>
        <v/>
      </c>
      <c r="K1397" s="10">
        <f>IF(N(G1397)&gt;0,E1397/G1397,"")</f>
        <v/>
      </c>
      <c r="L1397" s="10">
        <f>IF(N(H1397)&gt;0,E1397/H1397,"")</f>
        <v/>
      </c>
      <c r="M1397" s="11">
        <f>IF(N(E1397)&gt;0,I1397/E1397,"")</f>
        <v/>
      </c>
      <c r="N1397" s="10">
        <f>IF(AND(E1397="",I1397=""),"",N(I1397)*(1-COM-COM_SHOP)-N(E1397)*(1+IMP_META))</f>
        <v/>
      </c>
      <c r="O1397" s="37" t="n"/>
    </row>
    <row r="1398">
      <c r="A1398" s="36" t="n"/>
      <c r="B1398" s="37" t="n"/>
      <c r="C1398" s="37" t="n"/>
      <c r="D1398" s="38">
        <f>IF(C1398="","",IFERROR(INDEX(Anuncios!$B$6:$B$65,MATCH(C1398,Anuncios!$A$6:$A$65,0)),"(no está en Anuncios)"))</f>
        <v/>
      </c>
      <c r="E1398" s="39" t="n"/>
      <c r="F1398" s="40" t="n"/>
      <c r="G1398" s="40" t="n"/>
      <c r="H1398" s="40" t="n"/>
      <c r="I1398" s="39" t="n"/>
      <c r="J1398" s="13">
        <f>IF(N(F1398)&gt;0,G1398/F1398,"")</f>
        <v/>
      </c>
      <c r="K1398" s="10">
        <f>IF(N(G1398)&gt;0,E1398/G1398,"")</f>
        <v/>
      </c>
      <c r="L1398" s="10">
        <f>IF(N(H1398)&gt;0,E1398/H1398,"")</f>
        <v/>
      </c>
      <c r="M1398" s="11">
        <f>IF(N(E1398)&gt;0,I1398/E1398,"")</f>
        <v/>
      </c>
      <c r="N1398" s="10">
        <f>IF(AND(E1398="",I1398=""),"",N(I1398)*(1-COM-COM_SHOP)-N(E1398)*(1+IMP_META))</f>
        <v/>
      </c>
      <c r="O1398" s="37" t="n"/>
    </row>
    <row r="1399">
      <c r="A1399" s="36" t="n"/>
      <c r="B1399" s="37" t="n"/>
      <c r="C1399" s="37" t="n"/>
      <c r="D1399" s="38">
        <f>IF(C1399="","",IFERROR(INDEX(Anuncios!$B$6:$B$65,MATCH(C1399,Anuncios!$A$6:$A$65,0)),"(no está en Anuncios)"))</f>
        <v/>
      </c>
      <c r="E1399" s="39" t="n"/>
      <c r="F1399" s="40" t="n"/>
      <c r="G1399" s="40" t="n"/>
      <c r="H1399" s="40" t="n"/>
      <c r="I1399" s="39" t="n"/>
      <c r="J1399" s="13">
        <f>IF(N(F1399)&gt;0,G1399/F1399,"")</f>
        <v/>
      </c>
      <c r="K1399" s="10">
        <f>IF(N(G1399)&gt;0,E1399/G1399,"")</f>
        <v/>
      </c>
      <c r="L1399" s="10">
        <f>IF(N(H1399)&gt;0,E1399/H1399,"")</f>
        <v/>
      </c>
      <c r="M1399" s="11">
        <f>IF(N(E1399)&gt;0,I1399/E1399,"")</f>
        <v/>
      </c>
      <c r="N1399" s="10">
        <f>IF(AND(E1399="",I1399=""),"",N(I1399)*(1-COM-COM_SHOP)-N(E1399)*(1+IMP_META))</f>
        <v/>
      </c>
      <c r="O1399" s="37" t="n"/>
    </row>
    <row r="1400">
      <c r="A1400" s="36" t="n"/>
      <c r="B1400" s="37" t="n"/>
      <c r="C1400" s="37" t="n"/>
      <c r="D1400" s="38">
        <f>IF(C1400="","",IFERROR(INDEX(Anuncios!$B$6:$B$65,MATCH(C1400,Anuncios!$A$6:$A$65,0)),"(no está en Anuncios)"))</f>
        <v/>
      </c>
      <c r="E1400" s="39" t="n"/>
      <c r="F1400" s="40" t="n"/>
      <c r="G1400" s="40" t="n"/>
      <c r="H1400" s="40" t="n"/>
      <c r="I1400" s="39" t="n"/>
      <c r="J1400" s="13">
        <f>IF(N(F1400)&gt;0,G1400/F1400,"")</f>
        <v/>
      </c>
      <c r="K1400" s="10">
        <f>IF(N(G1400)&gt;0,E1400/G1400,"")</f>
        <v/>
      </c>
      <c r="L1400" s="10">
        <f>IF(N(H1400)&gt;0,E1400/H1400,"")</f>
        <v/>
      </c>
      <c r="M1400" s="11">
        <f>IF(N(E1400)&gt;0,I1400/E1400,"")</f>
        <v/>
      </c>
      <c r="N1400" s="10">
        <f>IF(AND(E1400="",I1400=""),"",N(I1400)*(1-COM-COM_SHOP)-N(E1400)*(1+IMP_META))</f>
        <v/>
      </c>
      <c r="O1400" s="37" t="n"/>
    </row>
    <row r="1401">
      <c r="A1401" s="36" t="n"/>
      <c r="B1401" s="37" t="n"/>
      <c r="C1401" s="37" t="n"/>
      <c r="D1401" s="38">
        <f>IF(C1401="","",IFERROR(INDEX(Anuncios!$B$6:$B$65,MATCH(C1401,Anuncios!$A$6:$A$65,0)),"(no está en Anuncios)"))</f>
        <v/>
      </c>
      <c r="E1401" s="39" t="n"/>
      <c r="F1401" s="40" t="n"/>
      <c r="G1401" s="40" t="n"/>
      <c r="H1401" s="40" t="n"/>
      <c r="I1401" s="39" t="n"/>
      <c r="J1401" s="13">
        <f>IF(N(F1401)&gt;0,G1401/F1401,"")</f>
        <v/>
      </c>
      <c r="K1401" s="10">
        <f>IF(N(G1401)&gt;0,E1401/G1401,"")</f>
        <v/>
      </c>
      <c r="L1401" s="10">
        <f>IF(N(H1401)&gt;0,E1401/H1401,"")</f>
        <v/>
      </c>
      <c r="M1401" s="11">
        <f>IF(N(E1401)&gt;0,I1401/E1401,"")</f>
        <v/>
      </c>
      <c r="N1401" s="10">
        <f>IF(AND(E1401="",I1401=""),"",N(I1401)*(1-COM-COM_SHOP)-N(E1401)*(1+IMP_META))</f>
        <v/>
      </c>
      <c r="O1401" s="37" t="n"/>
    </row>
    <row r="1402">
      <c r="A1402" s="36" t="n"/>
      <c r="B1402" s="37" t="n"/>
      <c r="C1402" s="37" t="n"/>
      <c r="D1402" s="38">
        <f>IF(C1402="","",IFERROR(INDEX(Anuncios!$B$6:$B$65,MATCH(C1402,Anuncios!$A$6:$A$65,0)),"(no está en Anuncios)"))</f>
        <v/>
      </c>
      <c r="E1402" s="39" t="n"/>
      <c r="F1402" s="40" t="n"/>
      <c r="G1402" s="40" t="n"/>
      <c r="H1402" s="40" t="n"/>
      <c r="I1402" s="39" t="n"/>
      <c r="J1402" s="13">
        <f>IF(N(F1402)&gt;0,G1402/F1402,"")</f>
        <v/>
      </c>
      <c r="K1402" s="10">
        <f>IF(N(G1402)&gt;0,E1402/G1402,"")</f>
        <v/>
      </c>
      <c r="L1402" s="10">
        <f>IF(N(H1402)&gt;0,E1402/H1402,"")</f>
        <v/>
      </c>
      <c r="M1402" s="11">
        <f>IF(N(E1402)&gt;0,I1402/E1402,"")</f>
        <v/>
      </c>
      <c r="N1402" s="10">
        <f>IF(AND(E1402="",I1402=""),"",N(I1402)*(1-COM-COM_SHOP)-N(E1402)*(1+IMP_META))</f>
        <v/>
      </c>
      <c r="O1402" s="37" t="n"/>
    </row>
    <row r="1403">
      <c r="A1403" s="36" t="n"/>
      <c r="B1403" s="37" t="n"/>
      <c r="C1403" s="37" t="n"/>
      <c r="D1403" s="38">
        <f>IF(C1403="","",IFERROR(INDEX(Anuncios!$B$6:$B$65,MATCH(C1403,Anuncios!$A$6:$A$65,0)),"(no está en Anuncios)"))</f>
        <v/>
      </c>
      <c r="E1403" s="39" t="n"/>
      <c r="F1403" s="40" t="n"/>
      <c r="G1403" s="40" t="n"/>
      <c r="H1403" s="40" t="n"/>
      <c r="I1403" s="39" t="n"/>
      <c r="J1403" s="13">
        <f>IF(N(F1403)&gt;0,G1403/F1403,"")</f>
        <v/>
      </c>
      <c r="K1403" s="10">
        <f>IF(N(G1403)&gt;0,E1403/G1403,"")</f>
        <v/>
      </c>
      <c r="L1403" s="10">
        <f>IF(N(H1403)&gt;0,E1403/H1403,"")</f>
        <v/>
      </c>
      <c r="M1403" s="11">
        <f>IF(N(E1403)&gt;0,I1403/E1403,"")</f>
        <v/>
      </c>
      <c r="N1403" s="10">
        <f>IF(AND(E1403="",I1403=""),"",N(I1403)*(1-COM-COM_SHOP)-N(E1403)*(1+IMP_META))</f>
        <v/>
      </c>
      <c r="O1403" s="37" t="n"/>
    </row>
    <row r="1404">
      <c r="A1404" s="36" t="n"/>
      <c r="B1404" s="37" t="n"/>
      <c r="C1404" s="37" t="n"/>
      <c r="D1404" s="38">
        <f>IF(C1404="","",IFERROR(INDEX(Anuncios!$B$6:$B$65,MATCH(C1404,Anuncios!$A$6:$A$65,0)),"(no está en Anuncios)"))</f>
        <v/>
      </c>
      <c r="E1404" s="39" t="n"/>
      <c r="F1404" s="40" t="n"/>
      <c r="G1404" s="40" t="n"/>
      <c r="H1404" s="40" t="n"/>
      <c r="I1404" s="39" t="n"/>
      <c r="J1404" s="13">
        <f>IF(N(F1404)&gt;0,G1404/F1404,"")</f>
        <v/>
      </c>
      <c r="K1404" s="10">
        <f>IF(N(G1404)&gt;0,E1404/G1404,"")</f>
        <v/>
      </c>
      <c r="L1404" s="10">
        <f>IF(N(H1404)&gt;0,E1404/H1404,"")</f>
        <v/>
      </c>
      <c r="M1404" s="11">
        <f>IF(N(E1404)&gt;0,I1404/E1404,"")</f>
        <v/>
      </c>
      <c r="N1404" s="10">
        <f>IF(AND(E1404="",I1404=""),"",N(I1404)*(1-COM-COM_SHOP)-N(E1404)*(1+IMP_META))</f>
        <v/>
      </c>
      <c r="O1404" s="37" t="n"/>
    </row>
    <row r="1405">
      <c r="A1405" s="36" t="n"/>
      <c r="B1405" s="37" t="n"/>
      <c r="C1405" s="37" t="n"/>
      <c r="D1405" s="38">
        <f>IF(C1405="","",IFERROR(INDEX(Anuncios!$B$6:$B$65,MATCH(C1405,Anuncios!$A$6:$A$65,0)),"(no está en Anuncios)"))</f>
        <v/>
      </c>
      <c r="E1405" s="39" t="n"/>
      <c r="F1405" s="40" t="n"/>
      <c r="G1405" s="40" t="n"/>
      <c r="H1405" s="40" t="n"/>
      <c r="I1405" s="39" t="n"/>
      <c r="J1405" s="13">
        <f>IF(N(F1405)&gt;0,G1405/F1405,"")</f>
        <v/>
      </c>
      <c r="K1405" s="10">
        <f>IF(N(G1405)&gt;0,E1405/G1405,"")</f>
        <v/>
      </c>
      <c r="L1405" s="10">
        <f>IF(N(H1405)&gt;0,E1405/H1405,"")</f>
        <v/>
      </c>
      <c r="M1405" s="11">
        <f>IF(N(E1405)&gt;0,I1405/E1405,"")</f>
        <v/>
      </c>
      <c r="N1405" s="10">
        <f>IF(AND(E1405="",I1405=""),"",N(I1405)*(1-COM-COM_SHOP)-N(E1405)*(1+IMP_META))</f>
        <v/>
      </c>
      <c r="O1405" s="37" t="n"/>
    </row>
    <row r="1406">
      <c r="A1406" s="36" t="n"/>
      <c r="B1406" s="37" t="n"/>
      <c r="C1406" s="37" t="n"/>
      <c r="D1406" s="38">
        <f>IF(C1406="","",IFERROR(INDEX(Anuncios!$B$6:$B$65,MATCH(C1406,Anuncios!$A$6:$A$65,0)),"(no está en Anuncios)"))</f>
        <v/>
      </c>
      <c r="E1406" s="39" t="n"/>
      <c r="F1406" s="40" t="n"/>
      <c r="G1406" s="40" t="n"/>
      <c r="H1406" s="40" t="n"/>
      <c r="I1406" s="39" t="n"/>
      <c r="J1406" s="13">
        <f>IF(N(F1406)&gt;0,G1406/F1406,"")</f>
        <v/>
      </c>
      <c r="K1406" s="10">
        <f>IF(N(G1406)&gt;0,E1406/G1406,"")</f>
        <v/>
      </c>
      <c r="L1406" s="10">
        <f>IF(N(H1406)&gt;0,E1406/H1406,"")</f>
        <v/>
      </c>
      <c r="M1406" s="11">
        <f>IF(N(E1406)&gt;0,I1406/E1406,"")</f>
        <v/>
      </c>
      <c r="N1406" s="10">
        <f>IF(AND(E1406="",I1406=""),"",N(I1406)*(1-COM-COM_SHOP)-N(E1406)*(1+IMP_META))</f>
        <v/>
      </c>
      <c r="O1406" s="37" t="n"/>
    </row>
    <row r="1407">
      <c r="A1407" s="36" t="n"/>
      <c r="B1407" s="37" t="n"/>
      <c r="C1407" s="37" t="n"/>
      <c r="D1407" s="38">
        <f>IF(C1407="","",IFERROR(INDEX(Anuncios!$B$6:$B$65,MATCH(C1407,Anuncios!$A$6:$A$65,0)),"(no está en Anuncios)"))</f>
        <v/>
      </c>
      <c r="E1407" s="39" t="n"/>
      <c r="F1407" s="40" t="n"/>
      <c r="G1407" s="40" t="n"/>
      <c r="H1407" s="40" t="n"/>
      <c r="I1407" s="39" t="n"/>
      <c r="J1407" s="13">
        <f>IF(N(F1407)&gt;0,G1407/F1407,"")</f>
        <v/>
      </c>
      <c r="K1407" s="10">
        <f>IF(N(G1407)&gt;0,E1407/G1407,"")</f>
        <v/>
      </c>
      <c r="L1407" s="10">
        <f>IF(N(H1407)&gt;0,E1407/H1407,"")</f>
        <v/>
      </c>
      <c r="M1407" s="11">
        <f>IF(N(E1407)&gt;0,I1407/E1407,"")</f>
        <v/>
      </c>
      <c r="N1407" s="10">
        <f>IF(AND(E1407="",I1407=""),"",N(I1407)*(1-COM-COM_SHOP)-N(E1407)*(1+IMP_META))</f>
        <v/>
      </c>
      <c r="O1407" s="37" t="n"/>
    </row>
    <row r="1408">
      <c r="A1408" s="36" t="n"/>
      <c r="B1408" s="37" t="n"/>
      <c r="C1408" s="37" t="n"/>
      <c r="D1408" s="38">
        <f>IF(C1408="","",IFERROR(INDEX(Anuncios!$B$6:$B$65,MATCH(C1408,Anuncios!$A$6:$A$65,0)),"(no está en Anuncios)"))</f>
        <v/>
      </c>
      <c r="E1408" s="39" t="n"/>
      <c r="F1408" s="40" t="n"/>
      <c r="G1408" s="40" t="n"/>
      <c r="H1408" s="40" t="n"/>
      <c r="I1408" s="39" t="n"/>
      <c r="J1408" s="13">
        <f>IF(N(F1408)&gt;0,G1408/F1408,"")</f>
        <v/>
      </c>
      <c r="K1408" s="10">
        <f>IF(N(G1408)&gt;0,E1408/G1408,"")</f>
        <v/>
      </c>
      <c r="L1408" s="10">
        <f>IF(N(H1408)&gt;0,E1408/H1408,"")</f>
        <v/>
      </c>
      <c r="M1408" s="11">
        <f>IF(N(E1408)&gt;0,I1408/E1408,"")</f>
        <v/>
      </c>
      <c r="N1408" s="10">
        <f>IF(AND(E1408="",I1408=""),"",N(I1408)*(1-COM-COM_SHOP)-N(E1408)*(1+IMP_META))</f>
        <v/>
      </c>
      <c r="O1408" s="37" t="n"/>
    </row>
    <row r="1409">
      <c r="A1409" s="36" t="n"/>
      <c r="B1409" s="37" t="n"/>
      <c r="C1409" s="37" t="n"/>
      <c r="D1409" s="38">
        <f>IF(C1409="","",IFERROR(INDEX(Anuncios!$B$6:$B$65,MATCH(C1409,Anuncios!$A$6:$A$65,0)),"(no está en Anuncios)"))</f>
        <v/>
      </c>
      <c r="E1409" s="39" t="n"/>
      <c r="F1409" s="40" t="n"/>
      <c r="G1409" s="40" t="n"/>
      <c r="H1409" s="40" t="n"/>
      <c r="I1409" s="39" t="n"/>
      <c r="J1409" s="13">
        <f>IF(N(F1409)&gt;0,G1409/F1409,"")</f>
        <v/>
      </c>
      <c r="K1409" s="10">
        <f>IF(N(G1409)&gt;0,E1409/G1409,"")</f>
        <v/>
      </c>
      <c r="L1409" s="10">
        <f>IF(N(H1409)&gt;0,E1409/H1409,"")</f>
        <v/>
      </c>
      <c r="M1409" s="11">
        <f>IF(N(E1409)&gt;0,I1409/E1409,"")</f>
        <v/>
      </c>
      <c r="N1409" s="10">
        <f>IF(AND(E1409="",I1409=""),"",N(I1409)*(1-COM-COM_SHOP)-N(E1409)*(1+IMP_META))</f>
        <v/>
      </c>
      <c r="O1409" s="37" t="n"/>
    </row>
    <row r="1410">
      <c r="A1410" s="36" t="n"/>
      <c r="B1410" s="37" t="n"/>
      <c r="C1410" s="37" t="n"/>
      <c r="D1410" s="38">
        <f>IF(C1410="","",IFERROR(INDEX(Anuncios!$B$6:$B$65,MATCH(C1410,Anuncios!$A$6:$A$65,0)),"(no está en Anuncios)"))</f>
        <v/>
      </c>
      <c r="E1410" s="39" t="n"/>
      <c r="F1410" s="40" t="n"/>
      <c r="G1410" s="40" t="n"/>
      <c r="H1410" s="40" t="n"/>
      <c r="I1410" s="39" t="n"/>
      <c r="J1410" s="13">
        <f>IF(N(F1410)&gt;0,G1410/F1410,"")</f>
        <v/>
      </c>
      <c r="K1410" s="10">
        <f>IF(N(G1410)&gt;0,E1410/G1410,"")</f>
        <v/>
      </c>
      <c r="L1410" s="10">
        <f>IF(N(H1410)&gt;0,E1410/H1410,"")</f>
        <v/>
      </c>
      <c r="M1410" s="11">
        <f>IF(N(E1410)&gt;0,I1410/E1410,"")</f>
        <v/>
      </c>
      <c r="N1410" s="10">
        <f>IF(AND(E1410="",I1410=""),"",N(I1410)*(1-COM-COM_SHOP)-N(E1410)*(1+IMP_META))</f>
        <v/>
      </c>
      <c r="O1410" s="37" t="n"/>
    </row>
    <row r="1411">
      <c r="A1411" s="36" t="n"/>
      <c r="B1411" s="37" t="n"/>
      <c r="C1411" s="37" t="n"/>
      <c r="D1411" s="38">
        <f>IF(C1411="","",IFERROR(INDEX(Anuncios!$B$6:$B$65,MATCH(C1411,Anuncios!$A$6:$A$65,0)),"(no está en Anuncios)"))</f>
        <v/>
      </c>
      <c r="E1411" s="39" t="n"/>
      <c r="F1411" s="40" t="n"/>
      <c r="G1411" s="40" t="n"/>
      <c r="H1411" s="40" t="n"/>
      <c r="I1411" s="39" t="n"/>
      <c r="J1411" s="13">
        <f>IF(N(F1411)&gt;0,G1411/F1411,"")</f>
        <v/>
      </c>
      <c r="K1411" s="10">
        <f>IF(N(G1411)&gt;0,E1411/G1411,"")</f>
        <v/>
      </c>
      <c r="L1411" s="10">
        <f>IF(N(H1411)&gt;0,E1411/H1411,"")</f>
        <v/>
      </c>
      <c r="M1411" s="11">
        <f>IF(N(E1411)&gt;0,I1411/E1411,"")</f>
        <v/>
      </c>
      <c r="N1411" s="10">
        <f>IF(AND(E1411="",I1411=""),"",N(I1411)*(1-COM-COM_SHOP)-N(E1411)*(1+IMP_META))</f>
        <v/>
      </c>
      <c r="O1411" s="37" t="n"/>
    </row>
    <row r="1412">
      <c r="A1412" s="36" t="n"/>
      <c r="B1412" s="37" t="n"/>
      <c r="C1412" s="37" t="n"/>
      <c r="D1412" s="38">
        <f>IF(C1412="","",IFERROR(INDEX(Anuncios!$B$6:$B$65,MATCH(C1412,Anuncios!$A$6:$A$65,0)),"(no está en Anuncios)"))</f>
        <v/>
      </c>
      <c r="E1412" s="39" t="n"/>
      <c r="F1412" s="40" t="n"/>
      <c r="G1412" s="40" t="n"/>
      <c r="H1412" s="40" t="n"/>
      <c r="I1412" s="39" t="n"/>
      <c r="J1412" s="13">
        <f>IF(N(F1412)&gt;0,G1412/F1412,"")</f>
        <v/>
      </c>
      <c r="K1412" s="10">
        <f>IF(N(G1412)&gt;0,E1412/G1412,"")</f>
        <v/>
      </c>
      <c r="L1412" s="10">
        <f>IF(N(H1412)&gt;0,E1412/H1412,"")</f>
        <v/>
      </c>
      <c r="M1412" s="11">
        <f>IF(N(E1412)&gt;0,I1412/E1412,"")</f>
        <v/>
      </c>
      <c r="N1412" s="10">
        <f>IF(AND(E1412="",I1412=""),"",N(I1412)*(1-COM-COM_SHOP)-N(E1412)*(1+IMP_META))</f>
        <v/>
      </c>
      <c r="O1412" s="37" t="n"/>
    </row>
    <row r="1413">
      <c r="A1413" s="36" t="n"/>
      <c r="B1413" s="37" t="n"/>
      <c r="C1413" s="37" t="n"/>
      <c r="D1413" s="38">
        <f>IF(C1413="","",IFERROR(INDEX(Anuncios!$B$6:$B$65,MATCH(C1413,Anuncios!$A$6:$A$65,0)),"(no está en Anuncios)"))</f>
        <v/>
      </c>
      <c r="E1413" s="39" t="n"/>
      <c r="F1413" s="40" t="n"/>
      <c r="G1413" s="40" t="n"/>
      <c r="H1413" s="40" t="n"/>
      <c r="I1413" s="39" t="n"/>
      <c r="J1413" s="13">
        <f>IF(N(F1413)&gt;0,G1413/F1413,"")</f>
        <v/>
      </c>
      <c r="K1413" s="10">
        <f>IF(N(G1413)&gt;0,E1413/G1413,"")</f>
        <v/>
      </c>
      <c r="L1413" s="10">
        <f>IF(N(H1413)&gt;0,E1413/H1413,"")</f>
        <v/>
      </c>
      <c r="M1413" s="11">
        <f>IF(N(E1413)&gt;0,I1413/E1413,"")</f>
        <v/>
      </c>
      <c r="N1413" s="10">
        <f>IF(AND(E1413="",I1413=""),"",N(I1413)*(1-COM-COM_SHOP)-N(E1413)*(1+IMP_META))</f>
        <v/>
      </c>
      <c r="O1413" s="37" t="n"/>
    </row>
    <row r="1414">
      <c r="A1414" s="36" t="n"/>
      <c r="B1414" s="37" t="n"/>
      <c r="C1414" s="37" t="n"/>
      <c r="D1414" s="38">
        <f>IF(C1414="","",IFERROR(INDEX(Anuncios!$B$6:$B$65,MATCH(C1414,Anuncios!$A$6:$A$65,0)),"(no está en Anuncios)"))</f>
        <v/>
      </c>
      <c r="E1414" s="39" t="n"/>
      <c r="F1414" s="40" t="n"/>
      <c r="G1414" s="40" t="n"/>
      <c r="H1414" s="40" t="n"/>
      <c r="I1414" s="39" t="n"/>
      <c r="J1414" s="13">
        <f>IF(N(F1414)&gt;0,G1414/F1414,"")</f>
        <v/>
      </c>
      <c r="K1414" s="10">
        <f>IF(N(G1414)&gt;0,E1414/G1414,"")</f>
        <v/>
      </c>
      <c r="L1414" s="10">
        <f>IF(N(H1414)&gt;0,E1414/H1414,"")</f>
        <v/>
      </c>
      <c r="M1414" s="11">
        <f>IF(N(E1414)&gt;0,I1414/E1414,"")</f>
        <v/>
      </c>
      <c r="N1414" s="10">
        <f>IF(AND(E1414="",I1414=""),"",N(I1414)*(1-COM-COM_SHOP)-N(E1414)*(1+IMP_META))</f>
        <v/>
      </c>
      <c r="O1414" s="37" t="n"/>
    </row>
    <row r="1415">
      <c r="A1415" s="36" t="n"/>
      <c r="B1415" s="37" t="n"/>
      <c r="C1415" s="37" t="n"/>
      <c r="D1415" s="38">
        <f>IF(C1415="","",IFERROR(INDEX(Anuncios!$B$6:$B$65,MATCH(C1415,Anuncios!$A$6:$A$65,0)),"(no está en Anuncios)"))</f>
        <v/>
      </c>
      <c r="E1415" s="39" t="n"/>
      <c r="F1415" s="40" t="n"/>
      <c r="G1415" s="40" t="n"/>
      <c r="H1415" s="40" t="n"/>
      <c r="I1415" s="39" t="n"/>
      <c r="J1415" s="13">
        <f>IF(N(F1415)&gt;0,G1415/F1415,"")</f>
        <v/>
      </c>
      <c r="K1415" s="10">
        <f>IF(N(G1415)&gt;0,E1415/G1415,"")</f>
        <v/>
      </c>
      <c r="L1415" s="10">
        <f>IF(N(H1415)&gt;0,E1415/H1415,"")</f>
        <v/>
      </c>
      <c r="M1415" s="11">
        <f>IF(N(E1415)&gt;0,I1415/E1415,"")</f>
        <v/>
      </c>
      <c r="N1415" s="10">
        <f>IF(AND(E1415="",I1415=""),"",N(I1415)*(1-COM-COM_SHOP)-N(E1415)*(1+IMP_META))</f>
        <v/>
      </c>
      <c r="O1415" s="37" t="n"/>
    </row>
    <row r="1416">
      <c r="A1416" s="36" t="n"/>
      <c r="B1416" s="37" t="n"/>
      <c r="C1416" s="37" t="n"/>
      <c r="D1416" s="38">
        <f>IF(C1416="","",IFERROR(INDEX(Anuncios!$B$6:$B$65,MATCH(C1416,Anuncios!$A$6:$A$65,0)),"(no está en Anuncios)"))</f>
        <v/>
      </c>
      <c r="E1416" s="39" t="n"/>
      <c r="F1416" s="40" t="n"/>
      <c r="G1416" s="40" t="n"/>
      <c r="H1416" s="40" t="n"/>
      <c r="I1416" s="39" t="n"/>
      <c r="J1416" s="13">
        <f>IF(N(F1416)&gt;0,G1416/F1416,"")</f>
        <v/>
      </c>
      <c r="K1416" s="10">
        <f>IF(N(G1416)&gt;0,E1416/G1416,"")</f>
        <v/>
      </c>
      <c r="L1416" s="10">
        <f>IF(N(H1416)&gt;0,E1416/H1416,"")</f>
        <v/>
      </c>
      <c r="M1416" s="11">
        <f>IF(N(E1416)&gt;0,I1416/E1416,"")</f>
        <v/>
      </c>
      <c r="N1416" s="10">
        <f>IF(AND(E1416="",I1416=""),"",N(I1416)*(1-COM-COM_SHOP)-N(E1416)*(1+IMP_META))</f>
        <v/>
      </c>
      <c r="O1416" s="37" t="n"/>
    </row>
    <row r="1417">
      <c r="A1417" s="36" t="n"/>
      <c r="B1417" s="37" t="n"/>
      <c r="C1417" s="37" t="n"/>
      <c r="D1417" s="38">
        <f>IF(C1417="","",IFERROR(INDEX(Anuncios!$B$6:$B$65,MATCH(C1417,Anuncios!$A$6:$A$65,0)),"(no está en Anuncios)"))</f>
        <v/>
      </c>
      <c r="E1417" s="39" t="n"/>
      <c r="F1417" s="40" t="n"/>
      <c r="G1417" s="40" t="n"/>
      <c r="H1417" s="40" t="n"/>
      <c r="I1417" s="39" t="n"/>
      <c r="J1417" s="13">
        <f>IF(N(F1417)&gt;0,G1417/F1417,"")</f>
        <v/>
      </c>
      <c r="K1417" s="10">
        <f>IF(N(G1417)&gt;0,E1417/G1417,"")</f>
        <v/>
      </c>
      <c r="L1417" s="10">
        <f>IF(N(H1417)&gt;0,E1417/H1417,"")</f>
        <v/>
      </c>
      <c r="M1417" s="11">
        <f>IF(N(E1417)&gt;0,I1417/E1417,"")</f>
        <v/>
      </c>
      <c r="N1417" s="10">
        <f>IF(AND(E1417="",I1417=""),"",N(I1417)*(1-COM-COM_SHOP)-N(E1417)*(1+IMP_META))</f>
        <v/>
      </c>
      <c r="O1417" s="37" t="n"/>
    </row>
    <row r="1418">
      <c r="A1418" s="36" t="n"/>
      <c r="B1418" s="37" t="n"/>
      <c r="C1418" s="37" t="n"/>
      <c r="D1418" s="38">
        <f>IF(C1418="","",IFERROR(INDEX(Anuncios!$B$6:$B$65,MATCH(C1418,Anuncios!$A$6:$A$65,0)),"(no está en Anuncios)"))</f>
        <v/>
      </c>
      <c r="E1418" s="39" t="n"/>
      <c r="F1418" s="40" t="n"/>
      <c r="G1418" s="40" t="n"/>
      <c r="H1418" s="40" t="n"/>
      <c r="I1418" s="39" t="n"/>
      <c r="J1418" s="13">
        <f>IF(N(F1418)&gt;0,G1418/F1418,"")</f>
        <v/>
      </c>
      <c r="K1418" s="10">
        <f>IF(N(G1418)&gt;0,E1418/G1418,"")</f>
        <v/>
      </c>
      <c r="L1418" s="10">
        <f>IF(N(H1418)&gt;0,E1418/H1418,"")</f>
        <v/>
      </c>
      <c r="M1418" s="11">
        <f>IF(N(E1418)&gt;0,I1418/E1418,"")</f>
        <v/>
      </c>
      <c r="N1418" s="10">
        <f>IF(AND(E1418="",I1418=""),"",N(I1418)*(1-COM-COM_SHOP)-N(E1418)*(1+IMP_META))</f>
        <v/>
      </c>
      <c r="O1418" s="37" t="n"/>
    </row>
    <row r="1419">
      <c r="A1419" s="36" t="n"/>
      <c r="B1419" s="37" t="n"/>
      <c r="C1419" s="37" t="n"/>
      <c r="D1419" s="38">
        <f>IF(C1419="","",IFERROR(INDEX(Anuncios!$B$6:$B$65,MATCH(C1419,Anuncios!$A$6:$A$65,0)),"(no está en Anuncios)"))</f>
        <v/>
      </c>
      <c r="E1419" s="39" t="n"/>
      <c r="F1419" s="40" t="n"/>
      <c r="G1419" s="40" t="n"/>
      <c r="H1419" s="40" t="n"/>
      <c r="I1419" s="39" t="n"/>
      <c r="J1419" s="13">
        <f>IF(N(F1419)&gt;0,G1419/F1419,"")</f>
        <v/>
      </c>
      <c r="K1419" s="10">
        <f>IF(N(G1419)&gt;0,E1419/G1419,"")</f>
        <v/>
      </c>
      <c r="L1419" s="10">
        <f>IF(N(H1419)&gt;0,E1419/H1419,"")</f>
        <v/>
      </c>
      <c r="M1419" s="11">
        <f>IF(N(E1419)&gt;0,I1419/E1419,"")</f>
        <v/>
      </c>
      <c r="N1419" s="10">
        <f>IF(AND(E1419="",I1419=""),"",N(I1419)*(1-COM-COM_SHOP)-N(E1419)*(1+IMP_META))</f>
        <v/>
      </c>
      <c r="O1419" s="37" t="n"/>
    </row>
    <row r="1420">
      <c r="A1420" s="36" t="n"/>
      <c r="B1420" s="37" t="n"/>
      <c r="C1420" s="37" t="n"/>
      <c r="D1420" s="38">
        <f>IF(C1420="","",IFERROR(INDEX(Anuncios!$B$6:$B$65,MATCH(C1420,Anuncios!$A$6:$A$65,0)),"(no está en Anuncios)"))</f>
        <v/>
      </c>
      <c r="E1420" s="39" t="n"/>
      <c r="F1420" s="40" t="n"/>
      <c r="G1420" s="40" t="n"/>
      <c r="H1420" s="40" t="n"/>
      <c r="I1420" s="39" t="n"/>
      <c r="J1420" s="13">
        <f>IF(N(F1420)&gt;0,G1420/F1420,"")</f>
        <v/>
      </c>
      <c r="K1420" s="10">
        <f>IF(N(G1420)&gt;0,E1420/G1420,"")</f>
        <v/>
      </c>
      <c r="L1420" s="10">
        <f>IF(N(H1420)&gt;0,E1420/H1420,"")</f>
        <v/>
      </c>
      <c r="M1420" s="11">
        <f>IF(N(E1420)&gt;0,I1420/E1420,"")</f>
        <v/>
      </c>
      <c r="N1420" s="10">
        <f>IF(AND(E1420="",I1420=""),"",N(I1420)*(1-COM-COM_SHOP)-N(E1420)*(1+IMP_META))</f>
        <v/>
      </c>
      <c r="O1420" s="37" t="n"/>
    </row>
    <row r="1421">
      <c r="A1421" s="36" t="n"/>
      <c r="B1421" s="37" t="n"/>
      <c r="C1421" s="37" t="n"/>
      <c r="D1421" s="38">
        <f>IF(C1421="","",IFERROR(INDEX(Anuncios!$B$6:$B$65,MATCH(C1421,Anuncios!$A$6:$A$65,0)),"(no está en Anuncios)"))</f>
        <v/>
      </c>
      <c r="E1421" s="39" t="n"/>
      <c r="F1421" s="40" t="n"/>
      <c r="G1421" s="40" t="n"/>
      <c r="H1421" s="40" t="n"/>
      <c r="I1421" s="39" t="n"/>
      <c r="J1421" s="13">
        <f>IF(N(F1421)&gt;0,G1421/F1421,"")</f>
        <v/>
      </c>
      <c r="K1421" s="10">
        <f>IF(N(G1421)&gt;0,E1421/G1421,"")</f>
        <v/>
      </c>
      <c r="L1421" s="10">
        <f>IF(N(H1421)&gt;0,E1421/H1421,"")</f>
        <v/>
      </c>
      <c r="M1421" s="11">
        <f>IF(N(E1421)&gt;0,I1421/E1421,"")</f>
        <v/>
      </c>
      <c r="N1421" s="10">
        <f>IF(AND(E1421="",I1421=""),"",N(I1421)*(1-COM-COM_SHOP)-N(E1421)*(1+IMP_META))</f>
        <v/>
      </c>
      <c r="O1421" s="37" t="n"/>
    </row>
    <row r="1422">
      <c r="A1422" s="36" t="n"/>
      <c r="B1422" s="37" t="n"/>
      <c r="C1422" s="37" t="n"/>
      <c r="D1422" s="38">
        <f>IF(C1422="","",IFERROR(INDEX(Anuncios!$B$6:$B$65,MATCH(C1422,Anuncios!$A$6:$A$65,0)),"(no está en Anuncios)"))</f>
        <v/>
      </c>
      <c r="E1422" s="39" t="n"/>
      <c r="F1422" s="40" t="n"/>
      <c r="G1422" s="40" t="n"/>
      <c r="H1422" s="40" t="n"/>
      <c r="I1422" s="39" t="n"/>
      <c r="J1422" s="13">
        <f>IF(N(F1422)&gt;0,G1422/F1422,"")</f>
        <v/>
      </c>
      <c r="K1422" s="10">
        <f>IF(N(G1422)&gt;0,E1422/G1422,"")</f>
        <v/>
      </c>
      <c r="L1422" s="10">
        <f>IF(N(H1422)&gt;0,E1422/H1422,"")</f>
        <v/>
      </c>
      <c r="M1422" s="11">
        <f>IF(N(E1422)&gt;0,I1422/E1422,"")</f>
        <v/>
      </c>
      <c r="N1422" s="10">
        <f>IF(AND(E1422="",I1422=""),"",N(I1422)*(1-COM-COM_SHOP)-N(E1422)*(1+IMP_META))</f>
        <v/>
      </c>
      <c r="O1422" s="37" t="n"/>
    </row>
    <row r="1423">
      <c r="A1423" s="36" t="n"/>
      <c r="B1423" s="37" t="n"/>
      <c r="C1423" s="37" t="n"/>
      <c r="D1423" s="38">
        <f>IF(C1423="","",IFERROR(INDEX(Anuncios!$B$6:$B$65,MATCH(C1423,Anuncios!$A$6:$A$65,0)),"(no está en Anuncios)"))</f>
        <v/>
      </c>
      <c r="E1423" s="39" t="n"/>
      <c r="F1423" s="40" t="n"/>
      <c r="G1423" s="40" t="n"/>
      <c r="H1423" s="40" t="n"/>
      <c r="I1423" s="39" t="n"/>
      <c r="J1423" s="13">
        <f>IF(N(F1423)&gt;0,G1423/F1423,"")</f>
        <v/>
      </c>
      <c r="K1423" s="10">
        <f>IF(N(G1423)&gt;0,E1423/G1423,"")</f>
        <v/>
      </c>
      <c r="L1423" s="10">
        <f>IF(N(H1423)&gt;0,E1423/H1423,"")</f>
        <v/>
      </c>
      <c r="M1423" s="11">
        <f>IF(N(E1423)&gt;0,I1423/E1423,"")</f>
        <v/>
      </c>
      <c r="N1423" s="10">
        <f>IF(AND(E1423="",I1423=""),"",N(I1423)*(1-COM-COM_SHOP)-N(E1423)*(1+IMP_META))</f>
        <v/>
      </c>
      <c r="O1423" s="37" t="n"/>
    </row>
    <row r="1424">
      <c r="A1424" s="36" t="n"/>
      <c r="B1424" s="37" t="n"/>
      <c r="C1424" s="37" t="n"/>
      <c r="D1424" s="38">
        <f>IF(C1424="","",IFERROR(INDEX(Anuncios!$B$6:$B$65,MATCH(C1424,Anuncios!$A$6:$A$65,0)),"(no está en Anuncios)"))</f>
        <v/>
      </c>
      <c r="E1424" s="39" t="n"/>
      <c r="F1424" s="40" t="n"/>
      <c r="G1424" s="40" t="n"/>
      <c r="H1424" s="40" t="n"/>
      <c r="I1424" s="39" t="n"/>
      <c r="J1424" s="13">
        <f>IF(N(F1424)&gt;0,G1424/F1424,"")</f>
        <v/>
      </c>
      <c r="K1424" s="10">
        <f>IF(N(G1424)&gt;0,E1424/G1424,"")</f>
        <v/>
      </c>
      <c r="L1424" s="10">
        <f>IF(N(H1424)&gt;0,E1424/H1424,"")</f>
        <v/>
      </c>
      <c r="M1424" s="11">
        <f>IF(N(E1424)&gt;0,I1424/E1424,"")</f>
        <v/>
      </c>
      <c r="N1424" s="10">
        <f>IF(AND(E1424="",I1424=""),"",N(I1424)*(1-COM-COM_SHOP)-N(E1424)*(1+IMP_META))</f>
        <v/>
      </c>
      <c r="O1424" s="37" t="n"/>
    </row>
    <row r="1425">
      <c r="A1425" s="36" t="n"/>
      <c r="B1425" s="37" t="n"/>
      <c r="C1425" s="37" t="n"/>
      <c r="D1425" s="38">
        <f>IF(C1425="","",IFERROR(INDEX(Anuncios!$B$6:$B$65,MATCH(C1425,Anuncios!$A$6:$A$65,0)),"(no está en Anuncios)"))</f>
        <v/>
      </c>
      <c r="E1425" s="39" t="n"/>
      <c r="F1425" s="40" t="n"/>
      <c r="G1425" s="40" t="n"/>
      <c r="H1425" s="40" t="n"/>
      <c r="I1425" s="39" t="n"/>
      <c r="J1425" s="13">
        <f>IF(N(F1425)&gt;0,G1425/F1425,"")</f>
        <v/>
      </c>
      <c r="K1425" s="10">
        <f>IF(N(G1425)&gt;0,E1425/G1425,"")</f>
        <v/>
      </c>
      <c r="L1425" s="10">
        <f>IF(N(H1425)&gt;0,E1425/H1425,"")</f>
        <v/>
      </c>
      <c r="M1425" s="11">
        <f>IF(N(E1425)&gt;0,I1425/E1425,"")</f>
        <v/>
      </c>
      <c r="N1425" s="10">
        <f>IF(AND(E1425="",I1425=""),"",N(I1425)*(1-COM-COM_SHOP)-N(E1425)*(1+IMP_META))</f>
        <v/>
      </c>
      <c r="O1425" s="37" t="n"/>
    </row>
    <row r="1426">
      <c r="A1426" s="36" t="n"/>
      <c r="B1426" s="37" t="n"/>
      <c r="C1426" s="37" t="n"/>
      <c r="D1426" s="38">
        <f>IF(C1426="","",IFERROR(INDEX(Anuncios!$B$6:$B$65,MATCH(C1426,Anuncios!$A$6:$A$65,0)),"(no está en Anuncios)"))</f>
        <v/>
      </c>
      <c r="E1426" s="39" t="n"/>
      <c r="F1426" s="40" t="n"/>
      <c r="G1426" s="40" t="n"/>
      <c r="H1426" s="40" t="n"/>
      <c r="I1426" s="39" t="n"/>
      <c r="J1426" s="13">
        <f>IF(N(F1426)&gt;0,G1426/F1426,"")</f>
        <v/>
      </c>
      <c r="K1426" s="10">
        <f>IF(N(G1426)&gt;0,E1426/G1426,"")</f>
        <v/>
      </c>
      <c r="L1426" s="10">
        <f>IF(N(H1426)&gt;0,E1426/H1426,"")</f>
        <v/>
      </c>
      <c r="M1426" s="11">
        <f>IF(N(E1426)&gt;0,I1426/E1426,"")</f>
        <v/>
      </c>
      <c r="N1426" s="10">
        <f>IF(AND(E1426="",I1426=""),"",N(I1426)*(1-COM-COM_SHOP)-N(E1426)*(1+IMP_META))</f>
        <v/>
      </c>
      <c r="O1426" s="37" t="n"/>
    </row>
    <row r="1427">
      <c r="A1427" s="36" t="n"/>
      <c r="B1427" s="37" t="n"/>
      <c r="C1427" s="37" t="n"/>
      <c r="D1427" s="38">
        <f>IF(C1427="","",IFERROR(INDEX(Anuncios!$B$6:$B$65,MATCH(C1427,Anuncios!$A$6:$A$65,0)),"(no está en Anuncios)"))</f>
        <v/>
      </c>
      <c r="E1427" s="39" t="n"/>
      <c r="F1427" s="40" t="n"/>
      <c r="G1427" s="40" t="n"/>
      <c r="H1427" s="40" t="n"/>
      <c r="I1427" s="39" t="n"/>
      <c r="J1427" s="13">
        <f>IF(N(F1427)&gt;0,G1427/F1427,"")</f>
        <v/>
      </c>
      <c r="K1427" s="10">
        <f>IF(N(G1427)&gt;0,E1427/G1427,"")</f>
        <v/>
      </c>
      <c r="L1427" s="10">
        <f>IF(N(H1427)&gt;0,E1427/H1427,"")</f>
        <v/>
      </c>
      <c r="M1427" s="11">
        <f>IF(N(E1427)&gt;0,I1427/E1427,"")</f>
        <v/>
      </c>
      <c r="N1427" s="10">
        <f>IF(AND(E1427="",I1427=""),"",N(I1427)*(1-COM-COM_SHOP)-N(E1427)*(1+IMP_META))</f>
        <v/>
      </c>
      <c r="O1427" s="37" t="n"/>
    </row>
    <row r="1428">
      <c r="A1428" s="36" t="n"/>
      <c r="B1428" s="37" t="n"/>
      <c r="C1428" s="37" t="n"/>
      <c r="D1428" s="38">
        <f>IF(C1428="","",IFERROR(INDEX(Anuncios!$B$6:$B$65,MATCH(C1428,Anuncios!$A$6:$A$65,0)),"(no está en Anuncios)"))</f>
        <v/>
      </c>
      <c r="E1428" s="39" t="n"/>
      <c r="F1428" s="40" t="n"/>
      <c r="G1428" s="40" t="n"/>
      <c r="H1428" s="40" t="n"/>
      <c r="I1428" s="39" t="n"/>
      <c r="J1428" s="13">
        <f>IF(N(F1428)&gt;0,G1428/F1428,"")</f>
        <v/>
      </c>
      <c r="K1428" s="10">
        <f>IF(N(G1428)&gt;0,E1428/G1428,"")</f>
        <v/>
      </c>
      <c r="L1428" s="10">
        <f>IF(N(H1428)&gt;0,E1428/H1428,"")</f>
        <v/>
      </c>
      <c r="M1428" s="11">
        <f>IF(N(E1428)&gt;0,I1428/E1428,"")</f>
        <v/>
      </c>
      <c r="N1428" s="10">
        <f>IF(AND(E1428="",I1428=""),"",N(I1428)*(1-COM-COM_SHOP)-N(E1428)*(1+IMP_META))</f>
        <v/>
      </c>
      <c r="O1428" s="37" t="n"/>
    </row>
    <row r="1429">
      <c r="A1429" s="36" t="n"/>
      <c r="B1429" s="37" t="n"/>
      <c r="C1429" s="37" t="n"/>
      <c r="D1429" s="38">
        <f>IF(C1429="","",IFERROR(INDEX(Anuncios!$B$6:$B$65,MATCH(C1429,Anuncios!$A$6:$A$65,0)),"(no está en Anuncios)"))</f>
        <v/>
      </c>
      <c r="E1429" s="39" t="n"/>
      <c r="F1429" s="40" t="n"/>
      <c r="G1429" s="40" t="n"/>
      <c r="H1429" s="40" t="n"/>
      <c r="I1429" s="39" t="n"/>
      <c r="J1429" s="13">
        <f>IF(N(F1429)&gt;0,G1429/F1429,"")</f>
        <v/>
      </c>
      <c r="K1429" s="10">
        <f>IF(N(G1429)&gt;0,E1429/G1429,"")</f>
        <v/>
      </c>
      <c r="L1429" s="10">
        <f>IF(N(H1429)&gt;0,E1429/H1429,"")</f>
        <v/>
      </c>
      <c r="M1429" s="11">
        <f>IF(N(E1429)&gt;0,I1429/E1429,"")</f>
        <v/>
      </c>
      <c r="N1429" s="10">
        <f>IF(AND(E1429="",I1429=""),"",N(I1429)*(1-COM-COM_SHOP)-N(E1429)*(1+IMP_META))</f>
        <v/>
      </c>
      <c r="O1429" s="37" t="n"/>
    </row>
    <row r="1430">
      <c r="A1430" s="36" t="n"/>
      <c r="B1430" s="37" t="n"/>
      <c r="C1430" s="37" t="n"/>
      <c r="D1430" s="38">
        <f>IF(C1430="","",IFERROR(INDEX(Anuncios!$B$6:$B$65,MATCH(C1430,Anuncios!$A$6:$A$65,0)),"(no está en Anuncios)"))</f>
        <v/>
      </c>
      <c r="E1430" s="39" t="n"/>
      <c r="F1430" s="40" t="n"/>
      <c r="G1430" s="40" t="n"/>
      <c r="H1430" s="40" t="n"/>
      <c r="I1430" s="39" t="n"/>
      <c r="J1430" s="13">
        <f>IF(N(F1430)&gt;0,G1430/F1430,"")</f>
        <v/>
      </c>
      <c r="K1430" s="10">
        <f>IF(N(G1430)&gt;0,E1430/G1430,"")</f>
        <v/>
      </c>
      <c r="L1430" s="10">
        <f>IF(N(H1430)&gt;0,E1430/H1430,"")</f>
        <v/>
      </c>
      <c r="M1430" s="11">
        <f>IF(N(E1430)&gt;0,I1430/E1430,"")</f>
        <v/>
      </c>
      <c r="N1430" s="10">
        <f>IF(AND(E1430="",I1430=""),"",N(I1430)*(1-COM-COM_SHOP)-N(E1430)*(1+IMP_META))</f>
        <v/>
      </c>
      <c r="O1430" s="37" t="n"/>
    </row>
    <row r="1431">
      <c r="A1431" s="36" t="n"/>
      <c r="B1431" s="37" t="n"/>
      <c r="C1431" s="37" t="n"/>
      <c r="D1431" s="38">
        <f>IF(C1431="","",IFERROR(INDEX(Anuncios!$B$6:$B$65,MATCH(C1431,Anuncios!$A$6:$A$65,0)),"(no está en Anuncios)"))</f>
        <v/>
      </c>
      <c r="E1431" s="39" t="n"/>
      <c r="F1431" s="40" t="n"/>
      <c r="G1431" s="40" t="n"/>
      <c r="H1431" s="40" t="n"/>
      <c r="I1431" s="39" t="n"/>
      <c r="J1431" s="13">
        <f>IF(N(F1431)&gt;0,G1431/F1431,"")</f>
        <v/>
      </c>
      <c r="K1431" s="10">
        <f>IF(N(G1431)&gt;0,E1431/G1431,"")</f>
        <v/>
      </c>
      <c r="L1431" s="10">
        <f>IF(N(H1431)&gt;0,E1431/H1431,"")</f>
        <v/>
      </c>
      <c r="M1431" s="11">
        <f>IF(N(E1431)&gt;0,I1431/E1431,"")</f>
        <v/>
      </c>
      <c r="N1431" s="10">
        <f>IF(AND(E1431="",I1431=""),"",N(I1431)*(1-COM-COM_SHOP)-N(E1431)*(1+IMP_META))</f>
        <v/>
      </c>
      <c r="O1431" s="37" t="n"/>
    </row>
    <row r="1432">
      <c r="A1432" s="36" t="n"/>
      <c r="B1432" s="37" t="n"/>
      <c r="C1432" s="37" t="n"/>
      <c r="D1432" s="38">
        <f>IF(C1432="","",IFERROR(INDEX(Anuncios!$B$6:$B$65,MATCH(C1432,Anuncios!$A$6:$A$65,0)),"(no está en Anuncios)"))</f>
        <v/>
      </c>
      <c r="E1432" s="39" t="n"/>
      <c r="F1432" s="40" t="n"/>
      <c r="G1432" s="40" t="n"/>
      <c r="H1432" s="40" t="n"/>
      <c r="I1432" s="39" t="n"/>
      <c r="J1432" s="13">
        <f>IF(N(F1432)&gt;0,G1432/F1432,"")</f>
        <v/>
      </c>
      <c r="K1432" s="10">
        <f>IF(N(G1432)&gt;0,E1432/G1432,"")</f>
        <v/>
      </c>
      <c r="L1432" s="10">
        <f>IF(N(H1432)&gt;0,E1432/H1432,"")</f>
        <v/>
      </c>
      <c r="M1432" s="11">
        <f>IF(N(E1432)&gt;0,I1432/E1432,"")</f>
        <v/>
      </c>
      <c r="N1432" s="10">
        <f>IF(AND(E1432="",I1432=""),"",N(I1432)*(1-COM-COM_SHOP)-N(E1432)*(1+IMP_META))</f>
        <v/>
      </c>
      <c r="O1432" s="37" t="n"/>
    </row>
    <row r="1433">
      <c r="A1433" s="36" t="n"/>
      <c r="B1433" s="37" t="n"/>
      <c r="C1433" s="37" t="n"/>
      <c r="D1433" s="38">
        <f>IF(C1433="","",IFERROR(INDEX(Anuncios!$B$6:$B$65,MATCH(C1433,Anuncios!$A$6:$A$65,0)),"(no está en Anuncios)"))</f>
        <v/>
      </c>
      <c r="E1433" s="39" t="n"/>
      <c r="F1433" s="40" t="n"/>
      <c r="G1433" s="40" t="n"/>
      <c r="H1433" s="40" t="n"/>
      <c r="I1433" s="39" t="n"/>
      <c r="J1433" s="13">
        <f>IF(N(F1433)&gt;0,G1433/F1433,"")</f>
        <v/>
      </c>
      <c r="K1433" s="10">
        <f>IF(N(G1433)&gt;0,E1433/G1433,"")</f>
        <v/>
      </c>
      <c r="L1433" s="10">
        <f>IF(N(H1433)&gt;0,E1433/H1433,"")</f>
        <v/>
      </c>
      <c r="M1433" s="11">
        <f>IF(N(E1433)&gt;0,I1433/E1433,"")</f>
        <v/>
      </c>
      <c r="N1433" s="10">
        <f>IF(AND(E1433="",I1433=""),"",N(I1433)*(1-COM-COM_SHOP)-N(E1433)*(1+IMP_META))</f>
        <v/>
      </c>
      <c r="O1433" s="37" t="n"/>
    </row>
    <row r="1434">
      <c r="A1434" s="36" t="n"/>
      <c r="B1434" s="37" t="n"/>
      <c r="C1434" s="37" t="n"/>
      <c r="D1434" s="38">
        <f>IF(C1434="","",IFERROR(INDEX(Anuncios!$B$6:$B$65,MATCH(C1434,Anuncios!$A$6:$A$65,0)),"(no está en Anuncios)"))</f>
        <v/>
      </c>
      <c r="E1434" s="39" t="n"/>
      <c r="F1434" s="40" t="n"/>
      <c r="G1434" s="40" t="n"/>
      <c r="H1434" s="40" t="n"/>
      <c r="I1434" s="39" t="n"/>
      <c r="J1434" s="13">
        <f>IF(N(F1434)&gt;0,G1434/F1434,"")</f>
        <v/>
      </c>
      <c r="K1434" s="10">
        <f>IF(N(G1434)&gt;0,E1434/G1434,"")</f>
        <v/>
      </c>
      <c r="L1434" s="10">
        <f>IF(N(H1434)&gt;0,E1434/H1434,"")</f>
        <v/>
      </c>
      <c r="M1434" s="11">
        <f>IF(N(E1434)&gt;0,I1434/E1434,"")</f>
        <v/>
      </c>
      <c r="N1434" s="10">
        <f>IF(AND(E1434="",I1434=""),"",N(I1434)*(1-COM-COM_SHOP)-N(E1434)*(1+IMP_META))</f>
        <v/>
      </c>
      <c r="O1434" s="37" t="n"/>
    </row>
    <row r="1435">
      <c r="A1435" s="36" t="n"/>
      <c r="B1435" s="37" t="n"/>
      <c r="C1435" s="37" t="n"/>
      <c r="D1435" s="38">
        <f>IF(C1435="","",IFERROR(INDEX(Anuncios!$B$6:$B$65,MATCH(C1435,Anuncios!$A$6:$A$65,0)),"(no está en Anuncios)"))</f>
        <v/>
      </c>
      <c r="E1435" s="39" t="n"/>
      <c r="F1435" s="40" t="n"/>
      <c r="G1435" s="40" t="n"/>
      <c r="H1435" s="40" t="n"/>
      <c r="I1435" s="39" t="n"/>
      <c r="J1435" s="13">
        <f>IF(N(F1435)&gt;0,G1435/F1435,"")</f>
        <v/>
      </c>
      <c r="K1435" s="10">
        <f>IF(N(G1435)&gt;0,E1435/G1435,"")</f>
        <v/>
      </c>
      <c r="L1435" s="10">
        <f>IF(N(H1435)&gt;0,E1435/H1435,"")</f>
        <v/>
      </c>
      <c r="M1435" s="11">
        <f>IF(N(E1435)&gt;0,I1435/E1435,"")</f>
        <v/>
      </c>
      <c r="N1435" s="10">
        <f>IF(AND(E1435="",I1435=""),"",N(I1435)*(1-COM-COM_SHOP)-N(E1435)*(1+IMP_META))</f>
        <v/>
      </c>
      <c r="O1435" s="37" t="n"/>
    </row>
    <row r="1436">
      <c r="A1436" s="36" t="n"/>
      <c r="B1436" s="37" t="n"/>
      <c r="C1436" s="37" t="n"/>
      <c r="D1436" s="38">
        <f>IF(C1436="","",IFERROR(INDEX(Anuncios!$B$6:$B$65,MATCH(C1436,Anuncios!$A$6:$A$65,0)),"(no está en Anuncios)"))</f>
        <v/>
      </c>
      <c r="E1436" s="39" t="n"/>
      <c r="F1436" s="40" t="n"/>
      <c r="G1436" s="40" t="n"/>
      <c r="H1436" s="40" t="n"/>
      <c r="I1436" s="39" t="n"/>
      <c r="J1436" s="13">
        <f>IF(N(F1436)&gt;0,G1436/F1436,"")</f>
        <v/>
      </c>
      <c r="K1436" s="10">
        <f>IF(N(G1436)&gt;0,E1436/G1436,"")</f>
        <v/>
      </c>
      <c r="L1436" s="10">
        <f>IF(N(H1436)&gt;0,E1436/H1436,"")</f>
        <v/>
      </c>
      <c r="M1436" s="11">
        <f>IF(N(E1436)&gt;0,I1436/E1436,"")</f>
        <v/>
      </c>
      <c r="N1436" s="10">
        <f>IF(AND(E1436="",I1436=""),"",N(I1436)*(1-COM-COM_SHOP)-N(E1436)*(1+IMP_META))</f>
        <v/>
      </c>
      <c r="O1436" s="37" t="n"/>
    </row>
    <row r="1437">
      <c r="A1437" s="36" t="n"/>
      <c r="B1437" s="37" t="n"/>
      <c r="C1437" s="37" t="n"/>
      <c r="D1437" s="38">
        <f>IF(C1437="","",IFERROR(INDEX(Anuncios!$B$6:$B$65,MATCH(C1437,Anuncios!$A$6:$A$65,0)),"(no está en Anuncios)"))</f>
        <v/>
      </c>
      <c r="E1437" s="39" t="n"/>
      <c r="F1437" s="40" t="n"/>
      <c r="G1437" s="40" t="n"/>
      <c r="H1437" s="40" t="n"/>
      <c r="I1437" s="39" t="n"/>
      <c r="J1437" s="13">
        <f>IF(N(F1437)&gt;0,G1437/F1437,"")</f>
        <v/>
      </c>
      <c r="K1437" s="10">
        <f>IF(N(G1437)&gt;0,E1437/G1437,"")</f>
        <v/>
      </c>
      <c r="L1437" s="10">
        <f>IF(N(H1437)&gt;0,E1437/H1437,"")</f>
        <v/>
      </c>
      <c r="M1437" s="11">
        <f>IF(N(E1437)&gt;0,I1437/E1437,"")</f>
        <v/>
      </c>
      <c r="N1437" s="10">
        <f>IF(AND(E1437="",I1437=""),"",N(I1437)*(1-COM-COM_SHOP)-N(E1437)*(1+IMP_META))</f>
        <v/>
      </c>
      <c r="O1437" s="37" t="n"/>
    </row>
    <row r="1438">
      <c r="A1438" s="36" t="n"/>
      <c r="B1438" s="37" t="n"/>
      <c r="C1438" s="37" t="n"/>
      <c r="D1438" s="38">
        <f>IF(C1438="","",IFERROR(INDEX(Anuncios!$B$6:$B$65,MATCH(C1438,Anuncios!$A$6:$A$65,0)),"(no está en Anuncios)"))</f>
        <v/>
      </c>
      <c r="E1438" s="39" t="n"/>
      <c r="F1438" s="40" t="n"/>
      <c r="G1438" s="40" t="n"/>
      <c r="H1438" s="40" t="n"/>
      <c r="I1438" s="39" t="n"/>
      <c r="J1438" s="13">
        <f>IF(N(F1438)&gt;0,G1438/F1438,"")</f>
        <v/>
      </c>
      <c r="K1438" s="10">
        <f>IF(N(G1438)&gt;0,E1438/G1438,"")</f>
        <v/>
      </c>
      <c r="L1438" s="10">
        <f>IF(N(H1438)&gt;0,E1438/H1438,"")</f>
        <v/>
      </c>
      <c r="M1438" s="11">
        <f>IF(N(E1438)&gt;0,I1438/E1438,"")</f>
        <v/>
      </c>
      <c r="N1438" s="10">
        <f>IF(AND(E1438="",I1438=""),"",N(I1438)*(1-COM-COM_SHOP)-N(E1438)*(1+IMP_META))</f>
        <v/>
      </c>
      <c r="O1438" s="37" t="n"/>
    </row>
    <row r="1439">
      <c r="A1439" s="36" t="n"/>
      <c r="B1439" s="37" t="n"/>
      <c r="C1439" s="37" t="n"/>
      <c r="D1439" s="38">
        <f>IF(C1439="","",IFERROR(INDEX(Anuncios!$B$6:$B$65,MATCH(C1439,Anuncios!$A$6:$A$65,0)),"(no está en Anuncios)"))</f>
        <v/>
      </c>
      <c r="E1439" s="39" t="n"/>
      <c r="F1439" s="40" t="n"/>
      <c r="G1439" s="40" t="n"/>
      <c r="H1439" s="40" t="n"/>
      <c r="I1439" s="39" t="n"/>
      <c r="J1439" s="13">
        <f>IF(N(F1439)&gt;0,G1439/F1439,"")</f>
        <v/>
      </c>
      <c r="K1439" s="10">
        <f>IF(N(G1439)&gt;0,E1439/G1439,"")</f>
        <v/>
      </c>
      <c r="L1439" s="10">
        <f>IF(N(H1439)&gt;0,E1439/H1439,"")</f>
        <v/>
      </c>
      <c r="M1439" s="11">
        <f>IF(N(E1439)&gt;0,I1439/E1439,"")</f>
        <v/>
      </c>
      <c r="N1439" s="10">
        <f>IF(AND(E1439="",I1439=""),"",N(I1439)*(1-COM-COM_SHOP)-N(E1439)*(1+IMP_META))</f>
        <v/>
      </c>
      <c r="O1439" s="37" t="n"/>
    </row>
    <row r="1440">
      <c r="A1440" s="36" t="n"/>
      <c r="B1440" s="37" t="n"/>
      <c r="C1440" s="37" t="n"/>
      <c r="D1440" s="38">
        <f>IF(C1440="","",IFERROR(INDEX(Anuncios!$B$6:$B$65,MATCH(C1440,Anuncios!$A$6:$A$65,0)),"(no está en Anuncios)"))</f>
        <v/>
      </c>
      <c r="E1440" s="39" t="n"/>
      <c r="F1440" s="40" t="n"/>
      <c r="G1440" s="40" t="n"/>
      <c r="H1440" s="40" t="n"/>
      <c r="I1440" s="39" t="n"/>
      <c r="J1440" s="13">
        <f>IF(N(F1440)&gt;0,G1440/F1440,"")</f>
        <v/>
      </c>
      <c r="K1440" s="10">
        <f>IF(N(G1440)&gt;0,E1440/G1440,"")</f>
        <v/>
      </c>
      <c r="L1440" s="10">
        <f>IF(N(H1440)&gt;0,E1440/H1440,"")</f>
        <v/>
      </c>
      <c r="M1440" s="11">
        <f>IF(N(E1440)&gt;0,I1440/E1440,"")</f>
        <v/>
      </c>
      <c r="N1440" s="10">
        <f>IF(AND(E1440="",I1440=""),"",N(I1440)*(1-COM-COM_SHOP)-N(E1440)*(1+IMP_META))</f>
        <v/>
      </c>
      <c r="O1440" s="37" t="n"/>
    </row>
    <row r="1441">
      <c r="A1441" s="36" t="n"/>
      <c r="B1441" s="37" t="n"/>
      <c r="C1441" s="37" t="n"/>
      <c r="D1441" s="38">
        <f>IF(C1441="","",IFERROR(INDEX(Anuncios!$B$6:$B$65,MATCH(C1441,Anuncios!$A$6:$A$65,0)),"(no está en Anuncios)"))</f>
        <v/>
      </c>
      <c r="E1441" s="39" t="n"/>
      <c r="F1441" s="40" t="n"/>
      <c r="G1441" s="40" t="n"/>
      <c r="H1441" s="40" t="n"/>
      <c r="I1441" s="39" t="n"/>
      <c r="J1441" s="13">
        <f>IF(N(F1441)&gt;0,G1441/F1441,"")</f>
        <v/>
      </c>
      <c r="K1441" s="10">
        <f>IF(N(G1441)&gt;0,E1441/G1441,"")</f>
        <v/>
      </c>
      <c r="L1441" s="10">
        <f>IF(N(H1441)&gt;0,E1441/H1441,"")</f>
        <v/>
      </c>
      <c r="M1441" s="11">
        <f>IF(N(E1441)&gt;0,I1441/E1441,"")</f>
        <v/>
      </c>
      <c r="N1441" s="10">
        <f>IF(AND(E1441="",I1441=""),"",N(I1441)*(1-COM-COM_SHOP)-N(E1441)*(1+IMP_META))</f>
        <v/>
      </c>
      <c r="O1441" s="37" t="n"/>
    </row>
    <row r="1442">
      <c r="A1442" s="36" t="n"/>
      <c r="B1442" s="37" t="n"/>
      <c r="C1442" s="37" t="n"/>
      <c r="D1442" s="38">
        <f>IF(C1442="","",IFERROR(INDEX(Anuncios!$B$6:$B$65,MATCH(C1442,Anuncios!$A$6:$A$65,0)),"(no está en Anuncios)"))</f>
        <v/>
      </c>
      <c r="E1442" s="39" t="n"/>
      <c r="F1442" s="40" t="n"/>
      <c r="G1442" s="40" t="n"/>
      <c r="H1442" s="40" t="n"/>
      <c r="I1442" s="39" t="n"/>
      <c r="J1442" s="13">
        <f>IF(N(F1442)&gt;0,G1442/F1442,"")</f>
        <v/>
      </c>
      <c r="K1442" s="10">
        <f>IF(N(G1442)&gt;0,E1442/G1442,"")</f>
        <v/>
      </c>
      <c r="L1442" s="10">
        <f>IF(N(H1442)&gt;0,E1442/H1442,"")</f>
        <v/>
      </c>
      <c r="M1442" s="11">
        <f>IF(N(E1442)&gt;0,I1442/E1442,"")</f>
        <v/>
      </c>
      <c r="N1442" s="10">
        <f>IF(AND(E1442="",I1442=""),"",N(I1442)*(1-COM-COM_SHOP)-N(E1442)*(1+IMP_META))</f>
        <v/>
      </c>
      <c r="O1442" s="37" t="n"/>
    </row>
    <row r="1443">
      <c r="A1443" s="36" t="n"/>
      <c r="B1443" s="37" t="n"/>
      <c r="C1443" s="37" t="n"/>
      <c r="D1443" s="38">
        <f>IF(C1443="","",IFERROR(INDEX(Anuncios!$B$6:$B$65,MATCH(C1443,Anuncios!$A$6:$A$65,0)),"(no está en Anuncios)"))</f>
        <v/>
      </c>
      <c r="E1443" s="39" t="n"/>
      <c r="F1443" s="40" t="n"/>
      <c r="G1443" s="40" t="n"/>
      <c r="H1443" s="40" t="n"/>
      <c r="I1443" s="39" t="n"/>
      <c r="J1443" s="13">
        <f>IF(N(F1443)&gt;0,G1443/F1443,"")</f>
        <v/>
      </c>
      <c r="K1443" s="10">
        <f>IF(N(G1443)&gt;0,E1443/G1443,"")</f>
        <v/>
      </c>
      <c r="L1443" s="10">
        <f>IF(N(H1443)&gt;0,E1443/H1443,"")</f>
        <v/>
      </c>
      <c r="M1443" s="11">
        <f>IF(N(E1443)&gt;0,I1443/E1443,"")</f>
        <v/>
      </c>
      <c r="N1443" s="10">
        <f>IF(AND(E1443="",I1443=""),"",N(I1443)*(1-COM-COM_SHOP)-N(E1443)*(1+IMP_META))</f>
        <v/>
      </c>
      <c r="O1443" s="37" t="n"/>
    </row>
    <row r="1444">
      <c r="A1444" s="36" t="n"/>
      <c r="B1444" s="37" t="n"/>
      <c r="C1444" s="37" t="n"/>
      <c r="D1444" s="38">
        <f>IF(C1444="","",IFERROR(INDEX(Anuncios!$B$6:$B$65,MATCH(C1444,Anuncios!$A$6:$A$65,0)),"(no está en Anuncios)"))</f>
        <v/>
      </c>
      <c r="E1444" s="39" t="n"/>
      <c r="F1444" s="40" t="n"/>
      <c r="G1444" s="40" t="n"/>
      <c r="H1444" s="40" t="n"/>
      <c r="I1444" s="39" t="n"/>
      <c r="J1444" s="13">
        <f>IF(N(F1444)&gt;0,G1444/F1444,"")</f>
        <v/>
      </c>
      <c r="K1444" s="10">
        <f>IF(N(G1444)&gt;0,E1444/G1444,"")</f>
        <v/>
      </c>
      <c r="L1444" s="10">
        <f>IF(N(H1444)&gt;0,E1444/H1444,"")</f>
        <v/>
      </c>
      <c r="M1444" s="11">
        <f>IF(N(E1444)&gt;0,I1444/E1444,"")</f>
        <v/>
      </c>
      <c r="N1444" s="10">
        <f>IF(AND(E1444="",I1444=""),"",N(I1444)*(1-COM-COM_SHOP)-N(E1444)*(1+IMP_META))</f>
        <v/>
      </c>
      <c r="O1444" s="37" t="n"/>
    </row>
    <row r="1445">
      <c r="A1445" s="36" t="n"/>
      <c r="B1445" s="37" t="n"/>
      <c r="C1445" s="37" t="n"/>
      <c r="D1445" s="38">
        <f>IF(C1445="","",IFERROR(INDEX(Anuncios!$B$6:$B$65,MATCH(C1445,Anuncios!$A$6:$A$65,0)),"(no está en Anuncios)"))</f>
        <v/>
      </c>
      <c r="E1445" s="39" t="n"/>
      <c r="F1445" s="40" t="n"/>
      <c r="G1445" s="40" t="n"/>
      <c r="H1445" s="40" t="n"/>
      <c r="I1445" s="39" t="n"/>
      <c r="J1445" s="13">
        <f>IF(N(F1445)&gt;0,G1445/F1445,"")</f>
        <v/>
      </c>
      <c r="K1445" s="10">
        <f>IF(N(G1445)&gt;0,E1445/G1445,"")</f>
        <v/>
      </c>
      <c r="L1445" s="10">
        <f>IF(N(H1445)&gt;0,E1445/H1445,"")</f>
        <v/>
      </c>
      <c r="M1445" s="11">
        <f>IF(N(E1445)&gt;0,I1445/E1445,"")</f>
        <v/>
      </c>
      <c r="N1445" s="10">
        <f>IF(AND(E1445="",I1445=""),"",N(I1445)*(1-COM-COM_SHOP)-N(E1445)*(1+IMP_META))</f>
        <v/>
      </c>
      <c r="O1445" s="37" t="n"/>
    </row>
    <row r="1446">
      <c r="A1446" s="36" t="n"/>
      <c r="B1446" s="37" t="n"/>
      <c r="C1446" s="37" t="n"/>
      <c r="D1446" s="38">
        <f>IF(C1446="","",IFERROR(INDEX(Anuncios!$B$6:$B$65,MATCH(C1446,Anuncios!$A$6:$A$65,0)),"(no está en Anuncios)"))</f>
        <v/>
      </c>
      <c r="E1446" s="39" t="n"/>
      <c r="F1446" s="40" t="n"/>
      <c r="G1446" s="40" t="n"/>
      <c r="H1446" s="40" t="n"/>
      <c r="I1446" s="39" t="n"/>
      <c r="J1446" s="13">
        <f>IF(N(F1446)&gt;0,G1446/F1446,"")</f>
        <v/>
      </c>
      <c r="K1446" s="10">
        <f>IF(N(G1446)&gt;0,E1446/G1446,"")</f>
        <v/>
      </c>
      <c r="L1446" s="10">
        <f>IF(N(H1446)&gt;0,E1446/H1446,"")</f>
        <v/>
      </c>
      <c r="M1446" s="11">
        <f>IF(N(E1446)&gt;0,I1446/E1446,"")</f>
        <v/>
      </c>
      <c r="N1446" s="10">
        <f>IF(AND(E1446="",I1446=""),"",N(I1446)*(1-COM-COM_SHOP)-N(E1446)*(1+IMP_META))</f>
        <v/>
      </c>
      <c r="O1446" s="37" t="n"/>
    </row>
    <row r="1447">
      <c r="A1447" s="36" t="n"/>
      <c r="B1447" s="37" t="n"/>
      <c r="C1447" s="37" t="n"/>
      <c r="D1447" s="38">
        <f>IF(C1447="","",IFERROR(INDEX(Anuncios!$B$6:$B$65,MATCH(C1447,Anuncios!$A$6:$A$65,0)),"(no está en Anuncios)"))</f>
        <v/>
      </c>
      <c r="E1447" s="39" t="n"/>
      <c r="F1447" s="40" t="n"/>
      <c r="G1447" s="40" t="n"/>
      <c r="H1447" s="40" t="n"/>
      <c r="I1447" s="39" t="n"/>
      <c r="J1447" s="13">
        <f>IF(N(F1447)&gt;0,G1447/F1447,"")</f>
        <v/>
      </c>
      <c r="K1447" s="10">
        <f>IF(N(G1447)&gt;0,E1447/G1447,"")</f>
        <v/>
      </c>
      <c r="L1447" s="10">
        <f>IF(N(H1447)&gt;0,E1447/H1447,"")</f>
        <v/>
      </c>
      <c r="M1447" s="11">
        <f>IF(N(E1447)&gt;0,I1447/E1447,"")</f>
        <v/>
      </c>
      <c r="N1447" s="10">
        <f>IF(AND(E1447="",I1447=""),"",N(I1447)*(1-COM-COM_SHOP)-N(E1447)*(1+IMP_META))</f>
        <v/>
      </c>
      <c r="O1447" s="37" t="n"/>
    </row>
    <row r="1448">
      <c r="A1448" s="36" t="n"/>
      <c r="B1448" s="37" t="n"/>
      <c r="C1448" s="37" t="n"/>
      <c r="D1448" s="38">
        <f>IF(C1448="","",IFERROR(INDEX(Anuncios!$B$6:$B$65,MATCH(C1448,Anuncios!$A$6:$A$65,0)),"(no está en Anuncios)"))</f>
        <v/>
      </c>
      <c r="E1448" s="39" t="n"/>
      <c r="F1448" s="40" t="n"/>
      <c r="G1448" s="40" t="n"/>
      <c r="H1448" s="40" t="n"/>
      <c r="I1448" s="39" t="n"/>
      <c r="J1448" s="13">
        <f>IF(N(F1448)&gt;0,G1448/F1448,"")</f>
        <v/>
      </c>
      <c r="K1448" s="10">
        <f>IF(N(G1448)&gt;0,E1448/G1448,"")</f>
        <v/>
      </c>
      <c r="L1448" s="10">
        <f>IF(N(H1448)&gt;0,E1448/H1448,"")</f>
        <v/>
      </c>
      <c r="M1448" s="11">
        <f>IF(N(E1448)&gt;0,I1448/E1448,"")</f>
        <v/>
      </c>
      <c r="N1448" s="10">
        <f>IF(AND(E1448="",I1448=""),"",N(I1448)*(1-COM-COM_SHOP)-N(E1448)*(1+IMP_META))</f>
        <v/>
      </c>
      <c r="O1448" s="37" t="n"/>
    </row>
    <row r="1449">
      <c r="A1449" s="36" t="n"/>
      <c r="B1449" s="37" t="n"/>
      <c r="C1449" s="37" t="n"/>
      <c r="D1449" s="38">
        <f>IF(C1449="","",IFERROR(INDEX(Anuncios!$B$6:$B$65,MATCH(C1449,Anuncios!$A$6:$A$65,0)),"(no está en Anuncios)"))</f>
        <v/>
      </c>
      <c r="E1449" s="39" t="n"/>
      <c r="F1449" s="40" t="n"/>
      <c r="G1449" s="40" t="n"/>
      <c r="H1449" s="40" t="n"/>
      <c r="I1449" s="39" t="n"/>
      <c r="J1449" s="13">
        <f>IF(N(F1449)&gt;0,G1449/F1449,"")</f>
        <v/>
      </c>
      <c r="K1449" s="10">
        <f>IF(N(G1449)&gt;0,E1449/G1449,"")</f>
        <v/>
      </c>
      <c r="L1449" s="10">
        <f>IF(N(H1449)&gt;0,E1449/H1449,"")</f>
        <v/>
      </c>
      <c r="M1449" s="11">
        <f>IF(N(E1449)&gt;0,I1449/E1449,"")</f>
        <v/>
      </c>
      <c r="N1449" s="10">
        <f>IF(AND(E1449="",I1449=""),"",N(I1449)*(1-COM-COM_SHOP)-N(E1449)*(1+IMP_META))</f>
        <v/>
      </c>
      <c r="O1449" s="37" t="n"/>
    </row>
    <row r="1450">
      <c r="A1450" s="36" t="n"/>
      <c r="B1450" s="37" t="n"/>
      <c r="C1450" s="37" t="n"/>
      <c r="D1450" s="38">
        <f>IF(C1450="","",IFERROR(INDEX(Anuncios!$B$6:$B$65,MATCH(C1450,Anuncios!$A$6:$A$65,0)),"(no está en Anuncios)"))</f>
        <v/>
      </c>
      <c r="E1450" s="39" t="n"/>
      <c r="F1450" s="40" t="n"/>
      <c r="G1450" s="40" t="n"/>
      <c r="H1450" s="40" t="n"/>
      <c r="I1450" s="39" t="n"/>
      <c r="J1450" s="13">
        <f>IF(N(F1450)&gt;0,G1450/F1450,"")</f>
        <v/>
      </c>
      <c r="K1450" s="10">
        <f>IF(N(G1450)&gt;0,E1450/G1450,"")</f>
        <v/>
      </c>
      <c r="L1450" s="10">
        <f>IF(N(H1450)&gt;0,E1450/H1450,"")</f>
        <v/>
      </c>
      <c r="M1450" s="11">
        <f>IF(N(E1450)&gt;0,I1450/E1450,"")</f>
        <v/>
      </c>
      <c r="N1450" s="10">
        <f>IF(AND(E1450="",I1450=""),"",N(I1450)*(1-COM-COM_SHOP)-N(E1450)*(1+IMP_META))</f>
        <v/>
      </c>
      <c r="O1450" s="37" t="n"/>
    </row>
    <row r="1451">
      <c r="A1451" s="36" t="n"/>
      <c r="B1451" s="37" t="n"/>
      <c r="C1451" s="37" t="n"/>
      <c r="D1451" s="38">
        <f>IF(C1451="","",IFERROR(INDEX(Anuncios!$B$6:$B$65,MATCH(C1451,Anuncios!$A$6:$A$65,0)),"(no está en Anuncios)"))</f>
        <v/>
      </c>
      <c r="E1451" s="39" t="n"/>
      <c r="F1451" s="40" t="n"/>
      <c r="G1451" s="40" t="n"/>
      <c r="H1451" s="40" t="n"/>
      <c r="I1451" s="39" t="n"/>
      <c r="J1451" s="13">
        <f>IF(N(F1451)&gt;0,G1451/F1451,"")</f>
        <v/>
      </c>
      <c r="K1451" s="10">
        <f>IF(N(G1451)&gt;0,E1451/G1451,"")</f>
        <v/>
      </c>
      <c r="L1451" s="10">
        <f>IF(N(H1451)&gt;0,E1451/H1451,"")</f>
        <v/>
      </c>
      <c r="M1451" s="11">
        <f>IF(N(E1451)&gt;0,I1451/E1451,"")</f>
        <v/>
      </c>
      <c r="N1451" s="10">
        <f>IF(AND(E1451="",I1451=""),"",N(I1451)*(1-COM-COM_SHOP)-N(E1451)*(1+IMP_META))</f>
        <v/>
      </c>
      <c r="O1451" s="37" t="n"/>
    </row>
    <row r="1452">
      <c r="A1452" s="36" t="n"/>
      <c r="B1452" s="37" t="n"/>
      <c r="C1452" s="37" t="n"/>
      <c r="D1452" s="38">
        <f>IF(C1452="","",IFERROR(INDEX(Anuncios!$B$6:$B$65,MATCH(C1452,Anuncios!$A$6:$A$65,0)),"(no está en Anuncios)"))</f>
        <v/>
      </c>
      <c r="E1452" s="39" t="n"/>
      <c r="F1452" s="40" t="n"/>
      <c r="G1452" s="40" t="n"/>
      <c r="H1452" s="40" t="n"/>
      <c r="I1452" s="39" t="n"/>
      <c r="J1452" s="13">
        <f>IF(N(F1452)&gt;0,G1452/F1452,"")</f>
        <v/>
      </c>
      <c r="K1452" s="10">
        <f>IF(N(G1452)&gt;0,E1452/G1452,"")</f>
        <v/>
      </c>
      <c r="L1452" s="10">
        <f>IF(N(H1452)&gt;0,E1452/H1452,"")</f>
        <v/>
      </c>
      <c r="M1452" s="11">
        <f>IF(N(E1452)&gt;0,I1452/E1452,"")</f>
        <v/>
      </c>
      <c r="N1452" s="10">
        <f>IF(AND(E1452="",I1452=""),"",N(I1452)*(1-COM-COM_SHOP)-N(E1452)*(1+IMP_META))</f>
        <v/>
      </c>
      <c r="O1452" s="37" t="n"/>
    </row>
    <row r="1453">
      <c r="A1453" s="36" t="n"/>
      <c r="B1453" s="37" t="n"/>
      <c r="C1453" s="37" t="n"/>
      <c r="D1453" s="38">
        <f>IF(C1453="","",IFERROR(INDEX(Anuncios!$B$6:$B$65,MATCH(C1453,Anuncios!$A$6:$A$65,0)),"(no está en Anuncios)"))</f>
        <v/>
      </c>
      <c r="E1453" s="39" t="n"/>
      <c r="F1453" s="40" t="n"/>
      <c r="G1453" s="40" t="n"/>
      <c r="H1453" s="40" t="n"/>
      <c r="I1453" s="39" t="n"/>
      <c r="J1453" s="13">
        <f>IF(N(F1453)&gt;0,G1453/F1453,"")</f>
        <v/>
      </c>
      <c r="K1453" s="10">
        <f>IF(N(G1453)&gt;0,E1453/G1453,"")</f>
        <v/>
      </c>
      <c r="L1453" s="10">
        <f>IF(N(H1453)&gt;0,E1453/H1453,"")</f>
        <v/>
      </c>
      <c r="M1453" s="11">
        <f>IF(N(E1453)&gt;0,I1453/E1453,"")</f>
        <v/>
      </c>
      <c r="N1453" s="10">
        <f>IF(AND(E1453="",I1453=""),"",N(I1453)*(1-COM-COM_SHOP)-N(E1453)*(1+IMP_META))</f>
        <v/>
      </c>
      <c r="O1453" s="37" t="n"/>
    </row>
    <row r="1454">
      <c r="A1454" s="36" t="n"/>
      <c r="B1454" s="37" t="n"/>
      <c r="C1454" s="37" t="n"/>
      <c r="D1454" s="38">
        <f>IF(C1454="","",IFERROR(INDEX(Anuncios!$B$6:$B$65,MATCH(C1454,Anuncios!$A$6:$A$65,0)),"(no está en Anuncios)"))</f>
        <v/>
      </c>
      <c r="E1454" s="39" t="n"/>
      <c r="F1454" s="40" t="n"/>
      <c r="G1454" s="40" t="n"/>
      <c r="H1454" s="40" t="n"/>
      <c r="I1454" s="39" t="n"/>
      <c r="J1454" s="13">
        <f>IF(N(F1454)&gt;0,G1454/F1454,"")</f>
        <v/>
      </c>
      <c r="K1454" s="10">
        <f>IF(N(G1454)&gt;0,E1454/G1454,"")</f>
        <v/>
      </c>
      <c r="L1454" s="10">
        <f>IF(N(H1454)&gt;0,E1454/H1454,"")</f>
        <v/>
      </c>
      <c r="M1454" s="11">
        <f>IF(N(E1454)&gt;0,I1454/E1454,"")</f>
        <v/>
      </c>
      <c r="N1454" s="10">
        <f>IF(AND(E1454="",I1454=""),"",N(I1454)*(1-COM-COM_SHOP)-N(E1454)*(1+IMP_META))</f>
        <v/>
      </c>
      <c r="O1454" s="37" t="n"/>
    </row>
    <row r="1455">
      <c r="A1455" s="36" t="n"/>
      <c r="B1455" s="37" t="n"/>
      <c r="C1455" s="37" t="n"/>
      <c r="D1455" s="38">
        <f>IF(C1455="","",IFERROR(INDEX(Anuncios!$B$6:$B$65,MATCH(C1455,Anuncios!$A$6:$A$65,0)),"(no está en Anuncios)"))</f>
        <v/>
      </c>
      <c r="E1455" s="39" t="n"/>
      <c r="F1455" s="40" t="n"/>
      <c r="G1455" s="40" t="n"/>
      <c r="H1455" s="40" t="n"/>
      <c r="I1455" s="39" t="n"/>
      <c r="J1455" s="13">
        <f>IF(N(F1455)&gt;0,G1455/F1455,"")</f>
        <v/>
      </c>
      <c r="K1455" s="10">
        <f>IF(N(G1455)&gt;0,E1455/G1455,"")</f>
        <v/>
      </c>
      <c r="L1455" s="10">
        <f>IF(N(H1455)&gt;0,E1455/H1455,"")</f>
        <v/>
      </c>
      <c r="M1455" s="11">
        <f>IF(N(E1455)&gt;0,I1455/E1455,"")</f>
        <v/>
      </c>
      <c r="N1455" s="10">
        <f>IF(AND(E1455="",I1455=""),"",N(I1455)*(1-COM-COM_SHOP)-N(E1455)*(1+IMP_META))</f>
        <v/>
      </c>
      <c r="O1455" s="37" t="n"/>
    </row>
    <row r="1456">
      <c r="A1456" s="36" t="n"/>
      <c r="B1456" s="37" t="n"/>
      <c r="C1456" s="37" t="n"/>
      <c r="D1456" s="38">
        <f>IF(C1456="","",IFERROR(INDEX(Anuncios!$B$6:$B$65,MATCH(C1456,Anuncios!$A$6:$A$65,0)),"(no está en Anuncios)"))</f>
        <v/>
      </c>
      <c r="E1456" s="39" t="n"/>
      <c r="F1456" s="40" t="n"/>
      <c r="G1456" s="40" t="n"/>
      <c r="H1456" s="40" t="n"/>
      <c r="I1456" s="39" t="n"/>
      <c r="J1456" s="13">
        <f>IF(N(F1456)&gt;0,G1456/F1456,"")</f>
        <v/>
      </c>
      <c r="K1456" s="10">
        <f>IF(N(G1456)&gt;0,E1456/G1456,"")</f>
        <v/>
      </c>
      <c r="L1456" s="10">
        <f>IF(N(H1456)&gt;0,E1456/H1456,"")</f>
        <v/>
      </c>
      <c r="M1456" s="11">
        <f>IF(N(E1456)&gt;0,I1456/E1456,"")</f>
        <v/>
      </c>
      <c r="N1456" s="10">
        <f>IF(AND(E1456="",I1456=""),"",N(I1456)*(1-COM-COM_SHOP)-N(E1456)*(1+IMP_META))</f>
        <v/>
      </c>
      <c r="O1456" s="37" t="n"/>
    </row>
    <row r="1457">
      <c r="A1457" s="36" t="n"/>
      <c r="B1457" s="37" t="n"/>
      <c r="C1457" s="37" t="n"/>
      <c r="D1457" s="38">
        <f>IF(C1457="","",IFERROR(INDEX(Anuncios!$B$6:$B$65,MATCH(C1457,Anuncios!$A$6:$A$65,0)),"(no está en Anuncios)"))</f>
        <v/>
      </c>
      <c r="E1457" s="39" t="n"/>
      <c r="F1457" s="40" t="n"/>
      <c r="G1457" s="40" t="n"/>
      <c r="H1457" s="40" t="n"/>
      <c r="I1457" s="39" t="n"/>
      <c r="J1457" s="13">
        <f>IF(N(F1457)&gt;0,G1457/F1457,"")</f>
        <v/>
      </c>
      <c r="K1457" s="10">
        <f>IF(N(G1457)&gt;0,E1457/G1457,"")</f>
        <v/>
      </c>
      <c r="L1457" s="10">
        <f>IF(N(H1457)&gt;0,E1457/H1457,"")</f>
        <v/>
      </c>
      <c r="M1457" s="11">
        <f>IF(N(E1457)&gt;0,I1457/E1457,"")</f>
        <v/>
      </c>
      <c r="N1457" s="10">
        <f>IF(AND(E1457="",I1457=""),"",N(I1457)*(1-COM-COM_SHOP)-N(E1457)*(1+IMP_META))</f>
        <v/>
      </c>
      <c r="O1457" s="37" t="n"/>
    </row>
    <row r="1458">
      <c r="A1458" s="36" t="n"/>
      <c r="B1458" s="37" t="n"/>
      <c r="C1458" s="37" t="n"/>
      <c r="D1458" s="38">
        <f>IF(C1458="","",IFERROR(INDEX(Anuncios!$B$6:$B$65,MATCH(C1458,Anuncios!$A$6:$A$65,0)),"(no está en Anuncios)"))</f>
        <v/>
      </c>
      <c r="E1458" s="39" t="n"/>
      <c r="F1458" s="40" t="n"/>
      <c r="G1458" s="40" t="n"/>
      <c r="H1458" s="40" t="n"/>
      <c r="I1458" s="39" t="n"/>
      <c r="J1458" s="13">
        <f>IF(N(F1458)&gt;0,G1458/F1458,"")</f>
        <v/>
      </c>
      <c r="K1458" s="10">
        <f>IF(N(G1458)&gt;0,E1458/G1458,"")</f>
        <v/>
      </c>
      <c r="L1458" s="10">
        <f>IF(N(H1458)&gt;0,E1458/H1458,"")</f>
        <v/>
      </c>
      <c r="M1458" s="11">
        <f>IF(N(E1458)&gt;0,I1458/E1458,"")</f>
        <v/>
      </c>
      <c r="N1458" s="10">
        <f>IF(AND(E1458="",I1458=""),"",N(I1458)*(1-COM-COM_SHOP)-N(E1458)*(1+IMP_META))</f>
        <v/>
      </c>
      <c r="O1458" s="37" t="n"/>
    </row>
    <row r="1459">
      <c r="A1459" s="36" t="n"/>
      <c r="B1459" s="37" t="n"/>
      <c r="C1459" s="37" t="n"/>
      <c r="D1459" s="38">
        <f>IF(C1459="","",IFERROR(INDEX(Anuncios!$B$6:$B$65,MATCH(C1459,Anuncios!$A$6:$A$65,0)),"(no está en Anuncios)"))</f>
        <v/>
      </c>
      <c r="E1459" s="39" t="n"/>
      <c r="F1459" s="40" t="n"/>
      <c r="G1459" s="40" t="n"/>
      <c r="H1459" s="40" t="n"/>
      <c r="I1459" s="39" t="n"/>
      <c r="J1459" s="13">
        <f>IF(N(F1459)&gt;0,G1459/F1459,"")</f>
        <v/>
      </c>
      <c r="K1459" s="10">
        <f>IF(N(G1459)&gt;0,E1459/G1459,"")</f>
        <v/>
      </c>
      <c r="L1459" s="10">
        <f>IF(N(H1459)&gt;0,E1459/H1459,"")</f>
        <v/>
      </c>
      <c r="M1459" s="11">
        <f>IF(N(E1459)&gt;0,I1459/E1459,"")</f>
        <v/>
      </c>
      <c r="N1459" s="10">
        <f>IF(AND(E1459="",I1459=""),"",N(I1459)*(1-COM-COM_SHOP)-N(E1459)*(1+IMP_META))</f>
        <v/>
      </c>
      <c r="O1459" s="37" t="n"/>
    </row>
    <row r="1460">
      <c r="A1460" s="36" t="n"/>
      <c r="B1460" s="37" t="n"/>
      <c r="C1460" s="37" t="n"/>
      <c r="D1460" s="38">
        <f>IF(C1460="","",IFERROR(INDEX(Anuncios!$B$6:$B$65,MATCH(C1460,Anuncios!$A$6:$A$65,0)),"(no está en Anuncios)"))</f>
        <v/>
      </c>
      <c r="E1460" s="39" t="n"/>
      <c r="F1460" s="40" t="n"/>
      <c r="G1460" s="40" t="n"/>
      <c r="H1460" s="40" t="n"/>
      <c r="I1460" s="39" t="n"/>
      <c r="J1460" s="13">
        <f>IF(N(F1460)&gt;0,G1460/F1460,"")</f>
        <v/>
      </c>
      <c r="K1460" s="10">
        <f>IF(N(G1460)&gt;0,E1460/G1460,"")</f>
        <v/>
      </c>
      <c r="L1460" s="10">
        <f>IF(N(H1460)&gt;0,E1460/H1460,"")</f>
        <v/>
      </c>
      <c r="M1460" s="11">
        <f>IF(N(E1460)&gt;0,I1460/E1460,"")</f>
        <v/>
      </c>
      <c r="N1460" s="10">
        <f>IF(AND(E1460="",I1460=""),"",N(I1460)*(1-COM-COM_SHOP)-N(E1460)*(1+IMP_META))</f>
        <v/>
      </c>
      <c r="O1460" s="37" t="n"/>
    </row>
    <row r="1461">
      <c r="A1461" s="36" t="n"/>
      <c r="B1461" s="37" t="n"/>
      <c r="C1461" s="37" t="n"/>
      <c r="D1461" s="38">
        <f>IF(C1461="","",IFERROR(INDEX(Anuncios!$B$6:$B$65,MATCH(C1461,Anuncios!$A$6:$A$65,0)),"(no está en Anuncios)"))</f>
        <v/>
      </c>
      <c r="E1461" s="39" t="n"/>
      <c r="F1461" s="40" t="n"/>
      <c r="G1461" s="40" t="n"/>
      <c r="H1461" s="40" t="n"/>
      <c r="I1461" s="39" t="n"/>
      <c r="J1461" s="13">
        <f>IF(N(F1461)&gt;0,G1461/F1461,"")</f>
        <v/>
      </c>
      <c r="K1461" s="10">
        <f>IF(N(G1461)&gt;0,E1461/G1461,"")</f>
        <v/>
      </c>
      <c r="L1461" s="10">
        <f>IF(N(H1461)&gt;0,E1461/H1461,"")</f>
        <v/>
      </c>
      <c r="M1461" s="11">
        <f>IF(N(E1461)&gt;0,I1461/E1461,"")</f>
        <v/>
      </c>
      <c r="N1461" s="10">
        <f>IF(AND(E1461="",I1461=""),"",N(I1461)*(1-COM-COM_SHOP)-N(E1461)*(1+IMP_META))</f>
        <v/>
      </c>
      <c r="O1461" s="37" t="n"/>
    </row>
    <row r="1462">
      <c r="A1462" s="36" t="n"/>
      <c r="B1462" s="37" t="n"/>
      <c r="C1462" s="37" t="n"/>
      <c r="D1462" s="38">
        <f>IF(C1462="","",IFERROR(INDEX(Anuncios!$B$6:$B$65,MATCH(C1462,Anuncios!$A$6:$A$65,0)),"(no está en Anuncios)"))</f>
        <v/>
      </c>
      <c r="E1462" s="39" t="n"/>
      <c r="F1462" s="40" t="n"/>
      <c r="G1462" s="40" t="n"/>
      <c r="H1462" s="40" t="n"/>
      <c r="I1462" s="39" t="n"/>
      <c r="J1462" s="13">
        <f>IF(N(F1462)&gt;0,G1462/F1462,"")</f>
        <v/>
      </c>
      <c r="K1462" s="10">
        <f>IF(N(G1462)&gt;0,E1462/G1462,"")</f>
        <v/>
      </c>
      <c r="L1462" s="10">
        <f>IF(N(H1462)&gt;0,E1462/H1462,"")</f>
        <v/>
      </c>
      <c r="M1462" s="11">
        <f>IF(N(E1462)&gt;0,I1462/E1462,"")</f>
        <v/>
      </c>
      <c r="N1462" s="10">
        <f>IF(AND(E1462="",I1462=""),"",N(I1462)*(1-COM-COM_SHOP)-N(E1462)*(1+IMP_META))</f>
        <v/>
      </c>
      <c r="O1462" s="37" t="n"/>
    </row>
    <row r="1463">
      <c r="A1463" s="36" t="n"/>
      <c r="B1463" s="37" t="n"/>
      <c r="C1463" s="37" t="n"/>
      <c r="D1463" s="38">
        <f>IF(C1463="","",IFERROR(INDEX(Anuncios!$B$6:$B$65,MATCH(C1463,Anuncios!$A$6:$A$65,0)),"(no está en Anuncios)"))</f>
        <v/>
      </c>
      <c r="E1463" s="39" t="n"/>
      <c r="F1463" s="40" t="n"/>
      <c r="G1463" s="40" t="n"/>
      <c r="H1463" s="40" t="n"/>
      <c r="I1463" s="39" t="n"/>
      <c r="J1463" s="13">
        <f>IF(N(F1463)&gt;0,G1463/F1463,"")</f>
        <v/>
      </c>
      <c r="K1463" s="10">
        <f>IF(N(G1463)&gt;0,E1463/G1463,"")</f>
        <v/>
      </c>
      <c r="L1463" s="10">
        <f>IF(N(H1463)&gt;0,E1463/H1463,"")</f>
        <v/>
      </c>
      <c r="M1463" s="11">
        <f>IF(N(E1463)&gt;0,I1463/E1463,"")</f>
        <v/>
      </c>
      <c r="N1463" s="10">
        <f>IF(AND(E1463="",I1463=""),"",N(I1463)*(1-COM-COM_SHOP)-N(E1463)*(1+IMP_META))</f>
        <v/>
      </c>
      <c r="O1463" s="37" t="n"/>
    </row>
    <row r="1464">
      <c r="A1464" s="36" t="n"/>
      <c r="B1464" s="37" t="n"/>
      <c r="C1464" s="37" t="n"/>
      <c r="D1464" s="38">
        <f>IF(C1464="","",IFERROR(INDEX(Anuncios!$B$6:$B$65,MATCH(C1464,Anuncios!$A$6:$A$65,0)),"(no está en Anuncios)"))</f>
        <v/>
      </c>
      <c r="E1464" s="39" t="n"/>
      <c r="F1464" s="40" t="n"/>
      <c r="G1464" s="40" t="n"/>
      <c r="H1464" s="40" t="n"/>
      <c r="I1464" s="39" t="n"/>
      <c r="J1464" s="13">
        <f>IF(N(F1464)&gt;0,G1464/F1464,"")</f>
        <v/>
      </c>
      <c r="K1464" s="10">
        <f>IF(N(G1464)&gt;0,E1464/G1464,"")</f>
        <v/>
      </c>
      <c r="L1464" s="10">
        <f>IF(N(H1464)&gt;0,E1464/H1464,"")</f>
        <v/>
      </c>
      <c r="M1464" s="11">
        <f>IF(N(E1464)&gt;0,I1464/E1464,"")</f>
        <v/>
      </c>
      <c r="N1464" s="10">
        <f>IF(AND(E1464="",I1464=""),"",N(I1464)*(1-COM-COM_SHOP)-N(E1464)*(1+IMP_META))</f>
        <v/>
      </c>
      <c r="O1464" s="37" t="n"/>
    </row>
    <row r="1465">
      <c r="A1465" s="36" t="n"/>
      <c r="B1465" s="37" t="n"/>
      <c r="C1465" s="37" t="n"/>
      <c r="D1465" s="38">
        <f>IF(C1465="","",IFERROR(INDEX(Anuncios!$B$6:$B$65,MATCH(C1465,Anuncios!$A$6:$A$65,0)),"(no está en Anuncios)"))</f>
        <v/>
      </c>
      <c r="E1465" s="39" t="n"/>
      <c r="F1465" s="40" t="n"/>
      <c r="G1465" s="40" t="n"/>
      <c r="H1465" s="40" t="n"/>
      <c r="I1465" s="39" t="n"/>
      <c r="J1465" s="13">
        <f>IF(N(F1465)&gt;0,G1465/F1465,"")</f>
        <v/>
      </c>
      <c r="K1465" s="10">
        <f>IF(N(G1465)&gt;0,E1465/G1465,"")</f>
        <v/>
      </c>
      <c r="L1465" s="10">
        <f>IF(N(H1465)&gt;0,E1465/H1465,"")</f>
        <v/>
      </c>
      <c r="M1465" s="11">
        <f>IF(N(E1465)&gt;0,I1465/E1465,"")</f>
        <v/>
      </c>
      <c r="N1465" s="10">
        <f>IF(AND(E1465="",I1465=""),"",N(I1465)*(1-COM-COM_SHOP)-N(E1465)*(1+IMP_META))</f>
        <v/>
      </c>
      <c r="O1465" s="37" t="n"/>
    </row>
    <row r="1466">
      <c r="A1466" s="36" t="n"/>
      <c r="B1466" s="37" t="n"/>
      <c r="C1466" s="37" t="n"/>
      <c r="D1466" s="38">
        <f>IF(C1466="","",IFERROR(INDEX(Anuncios!$B$6:$B$65,MATCH(C1466,Anuncios!$A$6:$A$65,0)),"(no está en Anuncios)"))</f>
        <v/>
      </c>
      <c r="E1466" s="39" t="n"/>
      <c r="F1466" s="40" t="n"/>
      <c r="G1466" s="40" t="n"/>
      <c r="H1466" s="40" t="n"/>
      <c r="I1466" s="39" t="n"/>
      <c r="J1466" s="13">
        <f>IF(N(F1466)&gt;0,G1466/F1466,"")</f>
        <v/>
      </c>
      <c r="K1466" s="10">
        <f>IF(N(G1466)&gt;0,E1466/G1466,"")</f>
        <v/>
      </c>
      <c r="L1466" s="10">
        <f>IF(N(H1466)&gt;0,E1466/H1466,"")</f>
        <v/>
      </c>
      <c r="M1466" s="11">
        <f>IF(N(E1466)&gt;0,I1466/E1466,"")</f>
        <v/>
      </c>
      <c r="N1466" s="10">
        <f>IF(AND(E1466="",I1466=""),"",N(I1466)*(1-COM-COM_SHOP)-N(E1466)*(1+IMP_META))</f>
        <v/>
      </c>
      <c r="O1466" s="37" t="n"/>
    </row>
    <row r="1467">
      <c r="A1467" s="36" t="n"/>
      <c r="B1467" s="37" t="n"/>
      <c r="C1467" s="37" t="n"/>
      <c r="D1467" s="38">
        <f>IF(C1467="","",IFERROR(INDEX(Anuncios!$B$6:$B$65,MATCH(C1467,Anuncios!$A$6:$A$65,0)),"(no está en Anuncios)"))</f>
        <v/>
      </c>
      <c r="E1467" s="39" t="n"/>
      <c r="F1467" s="40" t="n"/>
      <c r="G1467" s="40" t="n"/>
      <c r="H1467" s="40" t="n"/>
      <c r="I1467" s="39" t="n"/>
      <c r="J1467" s="13">
        <f>IF(N(F1467)&gt;0,G1467/F1467,"")</f>
        <v/>
      </c>
      <c r="K1467" s="10">
        <f>IF(N(G1467)&gt;0,E1467/G1467,"")</f>
        <v/>
      </c>
      <c r="L1467" s="10">
        <f>IF(N(H1467)&gt;0,E1467/H1467,"")</f>
        <v/>
      </c>
      <c r="M1467" s="11">
        <f>IF(N(E1467)&gt;0,I1467/E1467,"")</f>
        <v/>
      </c>
      <c r="N1467" s="10">
        <f>IF(AND(E1467="",I1467=""),"",N(I1467)*(1-COM-COM_SHOP)-N(E1467)*(1+IMP_META))</f>
        <v/>
      </c>
      <c r="O1467" s="37" t="n"/>
    </row>
    <row r="1468">
      <c r="A1468" s="36" t="n"/>
      <c r="B1468" s="37" t="n"/>
      <c r="C1468" s="37" t="n"/>
      <c r="D1468" s="38">
        <f>IF(C1468="","",IFERROR(INDEX(Anuncios!$B$6:$B$65,MATCH(C1468,Anuncios!$A$6:$A$65,0)),"(no está en Anuncios)"))</f>
        <v/>
      </c>
      <c r="E1468" s="39" t="n"/>
      <c r="F1468" s="40" t="n"/>
      <c r="G1468" s="40" t="n"/>
      <c r="H1468" s="40" t="n"/>
      <c r="I1468" s="39" t="n"/>
      <c r="J1468" s="13">
        <f>IF(N(F1468)&gt;0,G1468/F1468,"")</f>
        <v/>
      </c>
      <c r="K1468" s="10">
        <f>IF(N(G1468)&gt;0,E1468/G1468,"")</f>
        <v/>
      </c>
      <c r="L1468" s="10">
        <f>IF(N(H1468)&gt;0,E1468/H1468,"")</f>
        <v/>
      </c>
      <c r="M1468" s="11">
        <f>IF(N(E1468)&gt;0,I1468/E1468,"")</f>
        <v/>
      </c>
      <c r="N1468" s="10">
        <f>IF(AND(E1468="",I1468=""),"",N(I1468)*(1-COM-COM_SHOP)-N(E1468)*(1+IMP_META))</f>
        <v/>
      </c>
      <c r="O1468" s="37" t="n"/>
    </row>
    <row r="1469">
      <c r="A1469" s="36" t="n"/>
      <c r="B1469" s="37" t="n"/>
      <c r="C1469" s="37" t="n"/>
      <c r="D1469" s="38">
        <f>IF(C1469="","",IFERROR(INDEX(Anuncios!$B$6:$B$65,MATCH(C1469,Anuncios!$A$6:$A$65,0)),"(no está en Anuncios)"))</f>
        <v/>
      </c>
      <c r="E1469" s="39" t="n"/>
      <c r="F1469" s="40" t="n"/>
      <c r="G1469" s="40" t="n"/>
      <c r="H1469" s="40" t="n"/>
      <c r="I1469" s="39" t="n"/>
      <c r="J1469" s="13">
        <f>IF(N(F1469)&gt;0,G1469/F1469,"")</f>
        <v/>
      </c>
      <c r="K1469" s="10">
        <f>IF(N(G1469)&gt;0,E1469/G1469,"")</f>
        <v/>
      </c>
      <c r="L1469" s="10">
        <f>IF(N(H1469)&gt;0,E1469/H1469,"")</f>
        <v/>
      </c>
      <c r="M1469" s="11">
        <f>IF(N(E1469)&gt;0,I1469/E1469,"")</f>
        <v/>
      </c>
      <c r="N1469" s="10">
        <f>IF(AND(E1469="",I1469=""),"",N(I1469)*(1-COM-COM_SHOP)-N(E1469)*(1+IMP_META))</f>
        <v/>
      </c>
      <c r="O1469" s="37" t="n"/>
    </row>
    <row r="1470">
      <c r="A1470" s="36" t="n"/>
      <c r="B1470" s="37" t="n"/>
      <c r="C1470" s="37" t="n"/>
      <c r="D1470" s="38">
        <f>IF(C1470="","",IFERROR(INDEX(Anuncios!$B$6:$B$65,MATCH(C1470,Anuncios!$A$6:$A$65,0)),"(no está en Anuncios)"))</f>
        <v/>
      </c>
      <c r="E1470" s="39" t="n"/>
      <c r="F1470" s="40" t="n"/>
      <c r="G1470" s="40" t="n"/>
      <c r="H1470" s="40" t="n"/>
      <c r="I1470" s="39" t="n"/>
      <c r="J1470" s="13">
        <f>IF(N(F1470)&gt;0,G1470/F1470,"")</f>
        <v/>
      </c>
      <c r="K1470" s="10">
        <f>IF(N(G1470)&gt;0,E1470/G1470,"")</f>
        <v/>
      </c>
      <c r="L1470" s="10">
        <f>IF(N(H1470)&gt;0,E1470/H1470,"")</f>
        <v/>
      </c>
      <c r="M1470" s="11">
        <f>IF(N(E1470)&gt;0,I1470/E1470,"")</f>
        <v/>
      </c>
      <c r="N1470" s="10">
        <f>IF(AND(E1470="",I1470=""),"",N(I1470)*(1-COM-COM_SHOP)-N(E1470)*(1+IMP_META))</f>
        <v/>
      </c>
      <c r="O1470" s="37" t="n"/>
    </row>
    <row r="1471">
      <c r="A1471" s="36" t="n"/>
      <c r="B1471" s="37" t="n"/>
      <c r="C1471" s="37" t="n"/>
      <c r="D1471" s="38">
        <f>IF(C1471="","",IFERROR(INDEX(Anuncios!$B$6:$B$65,MATCH(C1471,Anuncios!$A$6:$A$65,0)),"(no está en Anuncios)"))</f>
        <v/>
      </c>
      <c r="E1471" s="39" t="n"/>
      <c r="F1471" s="40" t="n"/>
      <c r="G1471" s="40" t="n"/>
      <c r="H1471" s="40" t="n"/>
      <c r="I1471" s="39" t="n"/>
      <c r="J1471" s="13">
        <f>IF(N(F1471)&gt;0,G1471/F1471,"")</f>
        <v/>
      </c>
      <c r="K1471" s="10">
        <f>IF(N(G1471)&gt;0,E1471/G1471,"")</f>
        <v/>
      </c>
      <c r="L1471" s="10">
        <f>IF(N(H1471)&gt;0,E1471/H1471,"")</f>
        <v/>
      </c>
      <c r="M1471" s="11">
        <f>IF(N(E1471)&gt;0,I1471/E1471,"")</f>
        <v/>
      </c>
      <c r="N1471" s="10">
        <f>IF(AND(E1471="",I1471=""),"",N(I1471)*(1-COM-COM_SHOP)-N(E1471)*(1+IMP_META))</f>
        <v/>
      </c>
      <c r="O1471" s="37" t="n"/>
    </row>
    <row r="1472">
      <c r="A1472" s="36" t="n"/>
      <c r="B1472" s="37" t="n"/>
      <c r="C1472" s="37" t="n"/>
      <c r="D1472" s="38">
        <f>IF(C1472="","",IFERROR(INDEX(Anuncios!$B$6:$B$65,MATCH(C1472,Anuncios!$A$6:$A$65,0)),"(no está en Anuncios)"))</f>
        <v/>
      </c>
      <c r="E1472" s="39" t="n"/>
      <c r="F1472" s="40" t="n"/>
      <c r="G1472" s="40" t="n"/>
      <c r="H1472" s="40" t="n"/>
      <c r="I1472" s="39" t="n"/>
      <c r="J1472" s="13">
        <f>IF(N(F1472)&gt;0,G1472/F1472,"")</f>
        <v/>
      </c>
      <c r="K1472" s="10">
        <f>IF(N(G1472)&gt;0,E1472/G1472,"")</f>
        <v/>
      </c>
      <c r="L1472" s="10">
        <f>IF(N(H1472)&gt;0,E1472/H1472,"")</f>
        <v/>
      </c>
      <c r="M1472" s="11">
        <f>IF(N(E1472)&gt;0,I1472/E1472,"")</f>
        <v/>
      </c>
      <c r="N1472" s="10">
        <f>IF(AND(E1472="",I1472=""),"",N(I1472)*(1-COM-COM_SHOP)-N(E1472)*(1+IMP_META))</f>
        <v/>
      </c>
      <c r="O1472" s="37" t="n"/>
    </row>
    <row r="1473">
      <c r="A1473" s="36" t="n"/>
      <c r="B1473" s="37" t="n"/>
      <c r="C1473" s="37" t="n"/>
      <c r="D1473" s="38">
        <f>IF(C1473="","",IFERROR(INDEX(Anuncios!$B$6:$B$65,MATCH(C1473,Anuncios!$A$6:$A$65,0)),"(no está en Anuncios)"))</f>
        <v/>
      </c>
      <c r="E1473" s="39" t="n"/>
      <c r="F1473" s="40" t="n"/>
      <c r="G1473" s="40" t="n"/>
      <c r="H1473" s="40" t="n"/>
      <c r="I1473" s="39" t="n"/>
      <c r="J1473" s="13">
        <f>IF(N(F1473)&gt;0,G1473/F1473,"")</f>
        <v/>
      </c>
      <c r="K1473" s="10">
        <f>IF(N(G1473)&gt;0,E1473/G1473,"")</f>
        <v/>
      </c>
      <c r="L1473" s="10">
        <f>IF(N(H1473)&gt;0,E1473/H1473,"")</f>
        <v/>
      </c>
      <c r="M1473" s="11">
        <f>IF(N(E1473)&gt;0,I1473/E1473,"")</f>
        <v/>
      </c>
      <c r="N1473" s="10">
        <f>IF(AND(E1473="",I1473=""),"",N(I1473)*(1-COM-COM_SHOP)-N(E1473)*(1+IMP_META))</f>
        <v/>
      </c>
      <c r="O1473" s="37" t="n"/>
    </row>
    <row r="1474">
      <c r="A1474" s="36" t="n"/>
      <c r="B1474" s="37" t="n"/>
      <c r="C1474" s="37" t="n"/>
      <c r="D1474" s="38">
        <f>IF(C1474="","",IFERROR(INDEX(Anuncios!$B$6:$B$65,MATCH(C1474,Anuncios!$A$6:$A$65,0)),"(no está en Anuncios)"))</f>
        <v/>
      </c>
      <c r="E1474" s="39" t="n"/>
      <c r="F1474" s="40" t="n"/>
      <c r="G1474" s="40" t="n"/>
      <c r="H1474" s="40" t="n"/>
      <c r="I1474" s="39" t="n"/>
      <c r="J1474" s="13">
        <f>IF(N(F1474)&gt;0,G1474/F1474,"")</f>
        <v/>
      </c>
      <c r="K1474" s="10">
        <f>IF(N(G1474)&gt;0,E1474/G1474,"")</f>
        <v/>
      </c>
      <c r="L1474" s="10">
        <f>IF(N(H1474)&gt;0,E1474/H1474,"")</f>
        <v/>
      </c>
      <c r="M1474" s="11">
        <f>IF(N(E1474)&gt;0,I1474/E1474,"")</f>
        <v/>
      </c>
      <c r="N1474" s="10">
        <f>IF(AND(E1474="",I1474=""),"",N(I1474)*(1-COM-COM_SHOP)-N(E1474)*(1+IMP_META))</f>
        <v/>
      </c>
      <c r="O1474" s="37" t="n"/>
    </row>
    <row r="1475">
      <c r="A1475" s="36" t="n"/>
      <c r="B1475" s="37" t="n"/>
      <c r="C1475" s="37" t="n"/>
      <c r="D1475" s="38">
        <f>IF(C1475="","",IFERROR(INDEX(Anuncios!$B$6:$B$65,MATCH(C1475,Anuncios!$A$6:$A$65,0)),"(no está en Anuncios)"))</f>
        <v/>
      </c>
      <c r="E1475" s="39" t="n"/>
      <c r="F1475" s="40" t="n"/>
      <c r="G1475" s="40" t="n"/>
      <c r="H1475" s="40" t="n"/>
      <c r="I1475" s="39" t="n"/>
      <c r="J1475" s="13">
        <f>IF(N(F1475)&gt;0,G1475/F1475,"")</f>
        <v/>
      </c>
      <c r="K1475" s="10">
        <f>IF(N(G1475)&gt;0,E1475/G1475,"")</f>
        <v/>
      </c>
      <c r="L1475" s="10">
        <f>IF(N(H1475)&gt;0,E1475/H1475,"")</f>
        <v/>
      </c>
      <c r="M1475" s="11">
        <f>IF(N(E1475)&gt;0,I1475/E1475,"")</f>
        <v/>
      </c>
      <c r="N1475" s="10">
        <f>IF(AND(E1475="",I1475=""),"",N(I1475)*(1-COM-COM_SHOP)-N(E1475)*(1+IMP_META))</f>
        <v/>
      </c>
      <c r="O1475" s="37" t="n"/>
    </row>
    <row r="1476">
      <c r="A1476" s="36" t="n"/>
      <c r="B1476" s="37" t="n"/>
      <c r="C1476" s="37" t="n"/>
      <c r="D1476" s="38">
        <f>IF(C1476="","",IFERROR(INDEX(Anuncios!$B$6:$B$65,MATCH(C1476,Anuncios!$A$6:$A$65,0)),"(no está en Anuncios)"))</f>
        <v/>
      </c>
      <c r="E1476" s="39" t="n"/>
      <c r="F1476" s="40" t="n"/>
      <c r="G1476" s="40" t="n"/>
      <c r="H1476" s="40" t="n"/>
      <c r="I1476" s="39" t="n"/>
      <c r="J1476" s="13">
        <f>IF(N(F1476)&gt;0,G1476/F1476,"")</f>
        <v/>
      </c>
      <c r="K1476" s="10">
        <f>IF(N(G1476)&gt;0,E1476/G1476,"")</f>
        <v/>
      </c>
      <c r="L1476" s="10">
        <f>IF(N(H1476)&gt;0,E1476/H1476,"")</f>
        <v/>
      </c>
      <c r="M1476" s="11">
        <f>IF(N(E1476)&gt;0,I1476/E1476,"")</f>
        <v/>
      </c>
      <c r="N1476" s="10">
        <f>IF(AND(E1476="",I1476=""),"",N(I1476)*(1-COM-COM_SHOP)-N(E1476)*(1+IMP_META))</f>
        <v/>
      </c>
      <c r="O1476" s="37" t="n"/>
    </row>
    <row r="1477">
      <c r="A1477" s="36" t="n"/>
      <c r="B1477" s="37" t="n"/>
      <c r="C1477" s="37" t="n"/>
      <c r="D1477" s="38">
        <f>IF(C1477="","",IFERROR(INDEX(Anuncios!$B$6:$B$65,MATCH(C1477,Anuncios!$A$6:$A$65,0)),"(no está en Anuncios)"))</f>
        <v/>
      </c>
      <c r="E1477" s="39" t="n"/>
      <c r="F1477" s="40" t="n"/>
      <c r="G1477" s="40" t="n"/>
      <c r="H1477" s="40" t="n"/>
      <c r="I1477" s="39" t="n"/>
      <c r="J1477" s="13">
        <f>IF(N(F1477)&gt;0,G1477/F1477,"")</f>
        <v/>
      </c>
      <c r="K1477" s="10">
        <f>IF(N(G1477)&gt;0,E1477/G1477,"")</f>
        <v/>
      </c>
      <c r="L1477" s="10">
        <f>IF(N(H1477)&gt;0,E1477/H1477,"")</f>
        <v/>
      </c>
      <c r="M1477" s="11">
        <f>IF(N(E1477)&gt;0,I1477/E1477,"")</f>
        <v/>
      </c>
      <c r="N1477" s="10">
        <f>IF(AND(E1477="",I1477=""),"",N(I1477)*(1-COM-COM_SHOP)-N(E1477)*(1+IMP_META))</f>
        <v/>
      </c>
      <c r="O1477" s="37" t="n"/>
    </row>
    <row r="1478">
      <c r="A1478" s="36" t="n"/>
      <c r="B1478" s="37" t="n"/>
      <c r="C1478" s="37" t="n"/>
      <c r="D1478" s="38">
        <f>IF(C1478="","",IFERROR(INDEX(Anuncios!$B$6:$B$65,MATCH(C1478,Anuncios!$A$6:$A$65,0)),"(no está en Anuncios)"))</f>
        <v/>
      </c>
      <c r="E1478" s="39" t="n"/>
      <c r="F1478" s="40" t="n"/>
      <c r="G1478" s="40" t="n"/>
      <c r="H1478" s="40" t="n"/>
      <c r="I1478" s="39" t="n"/>
      <c r="J1478" s="13">
        <f>IF(N(F1478)&gt;0,G1478/F1478,"")</f>
        <v/>
      </c>
      <c r="K1478" s="10">
        <f>IF(N(G1478)&gt;0,E1478/G1478,"")</f>
        <v/>
      </c>
      <c r="L1478" s="10">
        <f>IF(N(H1478)&gt;0,E1478/H1478,"")</f>
        <v/>
      </c>
      <c r="M1478" s="11">
        <f>IF(N(E1478)&gt;0,I1478/E1478,"")</f>
        <v/>
      </c>
      <c r="N1478" s="10">
        <f>IF(AND(E1478="",I1478=""),"",N(I1478)*(1-COM-COM_SHOP)-N(E1478)*(1+IMP_META))</f>
        <v/>
      </c>
      <c r="O1478" s="37" t="n"/>
    </row>
    <row r="1479">
      <c r="A1479" s="36" t="n"/>
      <c r="B1479" s="37" t="n"/>
      <c r="C1479" s="37" t="n"/>
      <c r="D1479" s="38">
        <f>IF(C1479="","",IFERROR(INDEX(Anuncios!$B$6:$B$65,MATCH(C1479,Anuncios!$A$6:$A$65,0)),"(no está en Anuncios)"))</f>
        <v/>
      </c>
      <c r="E1479" s="39" t="n"/>
      <c r="F1479" s="40" t="n"/>
      <c r="G1479" s="40" t="n"/>
      <c r="H1479" s="40" t="n"/>
      <c r="I1479" s="39" t="n"/>
      <c r="J1479" s="13">
        <f>IF(N(F1479)&gt;0,G1479/F1479,"")</f>
        <v/>
      </c>
      <c r="K1479" s="10">
        <f>IF(N(G1479)&gt;0,E1479/G1479,"")</f>
        <v/>
      </c>
      <c r="L1479" s="10">
        <f>IF(N(H1479)&gt;0,E1479/H1479,"")</f>
        <v/>
      </c>
      <c r="M1479" s="11">
        <f>IF(N(E1479)&gt;0,I1479/E1479,"")</f>
        <v/>
      </c>
      <c r="N1479" s="10">
        <f>IF(AND(E1479="",I1479=""),"",N(I1479)*(1-COM-COM_SHOP)-N(E1479)*(1+IMP_META))</f>
        <v/>
      </c>
      <c r="O1479" s="37" t="n"/>
    </row>
    <row r="1480">
      <c r="A1480" s="36" t="n"/>
      <c r="B1480" s="37" t="n"/>
      <c r="C1480" s="37" t="n"/>
      <c r="D1480" s="38">
        <f>IF(C1480="","",IFERROR(INDEX(Anuncios!$B$6:$B$65,MATCH(C1480,Anuncios!$A$6:$A$65,0)),"(no está en Anuncios)"))</f>
        <v/>
      </c>
      <c r="E1480" s="39" t="n"/>
      <c r="F1480" s="40" t="n"/>
      <c r="G1480" s="40" t="n"/>
      <c r="H1480" s="40" t="n"/>
      <c r="I1480" s="39" t="n"/>
      <c r="J1480" s="13">
        <f>IF(N(F1480)&gt;0,G1480/F1480,"")</f>
        <v/>
      </c>
      <c r="K1480" s="10">
        <f>IF(N(G1480)&gt;0,E1480/G1480,"")</f>
        <v/>
      </c>
      <c r="L1480" s="10">
        <f>IF(N(H1480)&gt;0,E1480/H1480,"")</f>
        <v/>
      </c>
      <c r="M1480" s="11">
        <f>IF(N(E1480)&gt;0,I1480/E1480,"")</f>
        <v/>
      </c>
      <c r="N1480" s="10">
        <f>IF(AND(E1480="",I1480=""),"",N(I1480)*(1-COM-COM_SHOP)-N(E1480)*(1+IMP_META))</f>
        <v/>
      </c>
      <c r="O1480" s="37" t="n"/>
    </row>
    <row r="1481">
      <c r="A1481" s="36" t="n"/>
      <c r="B1481" s="37" t="n"/>
      <c r="C1481" s="37" t="n"/>
      <c r="D1481" s="38">
        <f>IF(C1481="","",IFERROR(INDEX(Anuncios!$B$6:$B$65,MATCH(C1481,Anuncios!$A$6:$A$65,0)),"(no está en Anuncios)"))</f>
        <v/>
      </c>
      <c r="E1481" s="39" t="n"/>
      <c r="F1481" s="40" t="n"/>
      <c r="G1481" s="40" t="n"/>
      <c r="H1481" s="40" t="n"/>
      <c r="I1481" s="39" t="n"/>
      <c r="J1481" s="13">
        <f>IF(N(F1481)&gt;0,G1481/F1481,"")</f>
        <v/>
      </c>
      <c r="K1481" s="10">
        <f>IF(N(G1481)&gt;0,E1481/G1481,"")</f>
        <v/>
      </c>
      <c r="L1481" s="10">
        <f>IF(N(H1481)&gt;0,E1481/H1481,"")</f>
        <v/>
      </c>
      <c r="M1481" s="11">
        <f>IF(N(E1481)&gt;0,I1481/E1481,"")</f>
        <v/>
      </c>
      <c r="N1481" s="10">
        <f>IF(AND(E1481="",I1481=""),"",N(I1481)*(1-COM-COM_SHOP)-N(E1481)*(1+IMP_META))</f>
        <v/>
      </c>
      <c r="O1481" s="37" t="n"/>
    </row>
    <row r="1482">
      <c r="A1482" s="36" t="n"/>
      <c r="B1482" s="37" t="n"/>
      <c r="C1482" s="37" t="n"/>
      <c r="D1482" s="38">
        <f>IF(C1482="","",IFERROR(INDEX(Anuncios!$B$6:$B$65,MATCH(C1482,Anuncios!$A$6:$A$65,0)),"(no está en Anuncios)"))</f>
        <v/>
      </c>
      <c r="E1482" s="39" t="n"/>
      <c r="F1482" s="40" t="n"/>
      <c r="G1482" s="40" t="n"/>
      <c r="H1482" s="40" t="n"/>
      <c r="I1482" s="39" t="n"/>
      <c r="J1482" s="13">
        <f>IF(N(F1482)&gt;0,G1482/F1482,"")</f>
        <v/>
      </c>
      <c r="K1482" s="10">
        <f>IF(N(G1482)&gt;0,E1482/G1482,"")</f>
        <v/>
      </c>
      <c r="L1482" s="10">
        <f>IF(N(H1482)&gt;0,E1482/H1482,"")</f>
        <v/>
      </c>
      <c r="M1482" s="11">
        <f>IF(N(E1482)&gt;0,I1482/E1482,"")</f>
        <v/>
      </c>
      <c r="N1482" s="10">
        <f>IF(AND(E1482="",I1482=""),"",N(I1482)*(1-COM-COM_SHOP)-N(E1482)*(1+IMP_META))</f>
        <v/>
      </c>
      <c r="O1482" s="37" t="n"/>
    </row>
    <row r="1483">
      <c r="A1483" s="36" t="n"/>
      <c r="B1483" s="37" t="n"/>
      <c r="C1483" s="37" t="n"/>
      <c r="D1483" s="38">
        <f>IF(C1483="","",IFERROR(INDEX(Anuncios!$B$6:$B$65,MATCH(C1483,Anuncios!$A$6:$A$65,0)),"(no está en Anuncios)"))</f>
        <v/>
      </c>
      <c r="E1483" s="39" t="n"/>
      <c r="F1483" s="40" t="n"/>
      <c r="G1483" s="40" t="n"/>
      <c r="H1483" s="40" t="n"/>
      <c r="I1483" s="39" t="n"/>
      <c r="J1483" s="13">
        <f>IF(N(F1483)&gt;0,G1483/F1483,"")</f>
        <v/>
      </c>
      <c r="K1483" s="10">
        <f>IF(N(G1483)&gt;0,E1483/G1483,"")</f>
        <v/>
      </c>
      <c r="L1483" s="10">
        <f>IF(N(H1483)&gt;0,E1483/H1483,"")</f>
        <v/>
      </c>
      <c r="M1483" s="11">
        <f>IF(N(E1483)&gt;0,I1483/E1483,"")</f>
        <v/>
      </c>
      <c r="N1483" s="10">
        <f>IF(AND(E1483="",I1483=""),"",N(I1483)*(1-COM-COM_SHOP)-N(E1483)*(1+IMP_META))</f>
        <v/>
      </c>
      <c r="O1483" s="37" t="n"/>
    </row>
    <row r="1484">
      <c r="A1484" s="36" t="n"/>
      <c r="B1484" s="37" t="n"/>
      <c r="C1484" s="37" t="n"/>
      <c r="D1484" s="38">
        <f>IF(C1484="","",IFERROR(INDEX(Anuncios!$B$6:$B$65,MATCH(C1484,Anuncios!$A$6:$A$65,0)),"(no está en Anuncios)"))</f>
        <v/>
      </c>
      <c r="E1484" s="39" t="n"/>
      <c r="F1484" s="40" t="n"/>
      <c r="G1484" s="40" t="n"/>
      <c r="H1484" s="40" t="n"/>
      <c r="I1484" s="39" t="n"/>
      <c r="J1484" s="13">
        <f>IF(N(F1484)&gt;0,G1484/F1484,"")</f>
        <v/>
      </c>
      <c r="K1484" s="10">
        <f>IF(N(G1484)&gt;0,E1484/G1484,"")</f>
        <v/>
      </c>
      <c r="L1484" s="10">
        <f>IF(N(H1484)&gt;0,E1484/H1484,"")</f>
        <v/>
      </c>
      <c r="M1484" s="11">
        <f>IF(N(E1484)&gt;0,I1484/E1484,"")</f>
        <v/>
      </c>
      <c r="N1484" s="10">
        <f>IF(AND(E1484="",I1484=""),"",N(I1484)*(1-COM-COM_SHOP)-N(E1484)*(1+IMP_META))</f>
        <v/>
      </c>
      <c r="O1484" s="37" t="n"/>
    </row>
    <row r="1485">
      <c r="A1485" s="36" t="n"/>
      <c r="B1485" s="37" t="n"/>
      <c r="C1485" s="37" t="n"/>
      <c r="D1485" s="38">
        <f>IF(C1485="","",IFERROR(INDEX(Anuncios!$B$6:$B$65,MATCH(C1485,Anuncios!$A$6:$A$65,0)),"(no está en Anuncios)"))</f>
        <v/>
      </c>
      <c r="E1485" s="39" t="n"/>
      <c r="F1485" s="40" t="n"/>
      <c r="G1485" s="40" t="n"/>
      <c r="H1485" s="40" t="n"/>
      <c r="I1485" s="39" t="n"/>
      <c r="J1485" s="13">
        <f>IF(N(F1485)&gt;0,G1485/F1485,"")</f>
        <v/>
      </c>
      <c r="K1485" s="10">
        <f>IF(N(G1485)&gt;0,E1485/G1485,"")</f>
        <v/>
      </c>
      <c r="L1485" s="10">
        <f>IF(N(H1485)&gt;0,E1485/H1485,"")</f>
        <v/>
      </c>
      <c r="M1485" s="11">
        <f>IF(N(E1485)&gt;0,I1485/E1485,"")</f>
        <v/>
      </c>
      <c r="N1485" s="10">
        <f>IF(AND(E1485="",I1485=""),"",N(I1485)*(1-COM-COM_SHOP)-N(E1485)*(1+IMP_META))</f>
        <v/>
      </c>
      <c r="O1485" s="37" t="n"/>
    </row>
    <row r="1486">
      <c r="A1486" s="36" t="n"/>
      <c r="B1486" s="37" t="n"/>
      <c r="C1486" s="37" t="n"/>
      <c r="D1486" s="38">
        <f>IF(C1486="","",IFERROR(INDEX(Anuncios!$B$6:$B$65,MATCH(C1486,Anuncios!$A$6:$A$65,0)),"(no está en Anuncios)"))</f>
        <v/>
      </c>
      <c r="E1486" s="39" t="n"/>
      <c r="F1486" s="40" t="n"/>
      <c r="G1486" s="40" t="n"/>
      <c r="H1486" s="40" t="n"/>
      <c r="I1486" s="39" t="n"/>
      <c r="J1486" s="13">
        <f>IF(N(F1486)&gt;0,G1486/F1486,"")</f>
        <v/>
      </c>
      <c r="K1486" s="10">
        <f>IF(N(G1486)&gt;0,E1486/G1486,"")</f>
        <v/>
      </c>
      <c r="L1486" s="10">
        <f>IF(N(H1486)&gt;0,E1486/H1486,"")</f>
        <v/>
      </c>
      <c r="M1486" s="11">
        <f>IF(N(E1486)&gt;0,I1486/E1486,"")</f>
        <v/>
      </c>
      <c r="N1486" s="10">
        <f>IF(AND(E1486="",I1486=""),"",N(I1486)*(1-COM-COM_SHOP)-N(E1486)*(1+IMP_META))</f>
        <v/>
      </c>
      <c r="O1486" s="37" t="n"/>
    </row>
    <row r="1487">
      <c r="A1487" s="36" t="n"/>
      <c r="B1487" s="37" t="n"/>
      <c r="C1487" s="37" t="n"/>
      <c r="D1487" s="38">
        <f>IF(C1487="","",IFERROR(INDEX(Anuncios!$B$6:$B$65,MATCH(C1487,Anuncios!$A$6:$A$65,0)),"(no está en Anuncios)"))</f>
        <v/>
      </c>
      <c r="E1487" s="39" t="n"/>
      <c r="F1487" s="40" t="n"/>
      <c r="G1487" s="40" t="n"/>
      <c r="H1487" s="40" t="n"/>
      <c r="I1487" s="39" t="n"/>
      <c r="J1487" s="13">
        <f>IF(N(F1487)&gt;0,G1487/F1487,"")</f>
        <v/>
      </c>
      <c r="K1487" s="10">
        <f>IF(N(G1487)&gt;0,E1487/G1487,"")</f>
        <v/>
      </c>
      <c r="L1487" s="10">
        <f>IF(N(H1487)&gt;0,E1487/H1487,"")</f>
        <v/>
      </c>
      <c r="M1487" s="11">
        <f>IF(N(E1487)&gt;0,I1487/E1487,"")</f>
        <v/>
      </c>
      <c r="N1487" s="10">
        <f>IF(AND(E1487="",I1487=""),"",N(I1487)*(1-COM-COM_SHOP)-N(E1487)*(1+IMP_META))</f>
        <v/>
      </c>
      <c r="O1487" s="37" t="n"/>
    </row>
    <row r="1488">
      <c r="A1488" s="36" t="n"/>
      <c r="B1488" s="37" t="n"/>
      <c r="C1488" s="37" t="n"/>
      <c r="D1488" s="38">
        <f>IF(C1488="","",IFERROR(INDEX(Anuncios!$B$6:$B$65,MATCH(C1488,Anuncios!$A$6:$A$65,0)),"(no está en Anuncios)"))</f>
        <v/>
      </c>
      <c r="E1488" s="39" t="n"/>
      <c r="F1488" s="40" t="n"/>
      <c r="G1488" s="40" t="n"/>
      <c r="H1488" s="40" t="n"/>
      <c r="I1488" s="39" t="n"/>
      <c r="J1488" s="13">
        <f>IF(N(F1488)&gt;0,G1488/F1488,"")</f>
        <v/>
      </c>
      <c r="K1488" s="10">
        <f>IF(N(G1488)&gt;0,E1488/G1488,"")</f>
        <v/>
      </c>
      <c r="L1488" s="10">
        <f>IF(N(H1488)&gt;0,E1488/H1488,"")</f>
        <v/>
      </c>
      <c r="M1488" s="11">
        <f>IF(N(E1488)&gt;0,I1488/E1488,"")</f>
        <v/>
      </c>
      <c r="N1488" s="10">
        <f>IF(AND(E1488="",I1488=""),"",N(I1488)*(1-COM-COM_SHOP)-N(E1488)*(1+IMP_META))</f>
        <v/>
      </c>
      <c r="O1488" s="37" t="n"/>
    </row>
    <row r="1489">
      <c r="A1489" s="36" t="n"/>
      <c r="B1489" s="37" t="n"/>
      <c r="C1489" s="37" t="n"/>
      <c r="D1489" s="38">
        <f>IF(C1489="","",IFERROR(INDEX(Anuncios!$B$6:$B$65,MATCH(C1489,Anuncios!$A$6:$A$65,0)),"(no está en Anuncios)"))</f>
        <v/>
      </c>
      <c r="E1489" s="39" t="n"/>
      <c r="F1489" s="40" t="n"/>
      <c r="G1489" s="40" t="n"/>
      <c r="H1489" s="40" t="n"/>
      <c r="I1489" s="39" t="n"/>
      <c r="J1489" s="13">
        <f>IF(N(F1489)&gt;0,G1489/F1489,"")</f>
        <v/>
      </c>
      <c r="K1489" s="10">
        <f>IF(N(G1489)&gt;0,E1489/G1489,"")</f>
        <v/>
      </c>
      <c r="L1489" s="10">
        <f>IF(N(H1489)&gt;0,E1489/H1489,"")</f>
        <v/>
      </c>
      <c r="M1489" s="11">
        <f>IF(N(E1489)&gt;0,I1489/E1489,"")</f>
        <v/>
      </c>
      <c r="N1489" s="10">
        <f>IF(AND(E1489="",I1489=""),"",N(I1489)*(1-COM-COM_SHOP)-N(E1489)*(1+IMP_META))</f>
        <v/>
      </c>
      <c r="O1489" s="37" t="n"/>
    </row>
    <row r="1490">
      <c r="A1490" s="36" t="n"/>
      <c r="B1490" s="37" t="n"/>
      <c r="C1490" s="37" t="n"/>
      <c r="D1490" s="38">
        <f>IF(C1490="","",IFERROR(INDEX(Anuncios!$B$6:$B$65,MATCH(C1490,Anuncios!$A$6:$A$65,0)),"(no está en Anuncios)"))</f>
        <v/>
      </c>
      <c r="E1490" s="39" t="n"/>
      <c r="F1490" s="40" t="n"/>
      <c r="G1490" s="40" t="n"/>
      <c r="H1490" s="40" t="n"/>
      <c r="I1490" s="39" t="n"/>
      <c r="J1490" s="13">
        <f>IF(N(F1490)&gt;0,G1490/F1490,"")</f>
        <v/>
      </c>
      <c r="K1490" s="10">
        <f>IF(N(G1490)&gt;0,E1490/G1490,"")</f>
        <v/>
      </c>
      <c r="L1490" s="10">
        <f>IF(N(H1490)&gt;0,E1490/H1490,"")</f>
        <v/>
      </c>
      <c r="M1490" s="11">
        <f>IF(N(E1490)&gt;0,I1490/E1490,"")</f>
        <v/>
      </c>
      <c r="N1490" s="10">
        <f>IF(AND(E1490="",I1490=""),"",N(I1490)*(1-COM-COM_SHOP)-N(E1490)*(1+IMP_META))</f>
        <v/>
      </c>
      <c r="O1490" s="37" t="n"/>
    </row>
    <row r="1491">
      <c r="A1491" s="36" t="n"/>
      <c r="B1491" s="37" t="n"/>
      <c r="C1491" s="37" t="n"/>
      <c r="D1491" s="38">
        <f>IF(C1491="","",IFERROR(INDEX(Anuncios!$B$6:$B$65,MATCH(C1491,Anuncios!$A$6:$A$65,0)),"(no está en Anuncios)"))</f>
        <v/>
      </c>
      <c r="E1491" s="39" t="n"/>
      <c r="F1491" s="40" t="n"/>
      <c r="G1491" s="40" t="n"/>
      <c r="H1491" s="40" t="n"/>
      <c r="I1491" s="39" t="n"/>
      <c r="J1491" s="13">
        <f>IF(N(F1491)&gt;0,G1491/F1491,"")</f>
        <v/>
      </c>
      <c r="K1491" s="10">
        <f>IF(N(G1491)&gt;0,E1491/G1491,"")</f>
        <v/>
      </c>
      <c r="L1491" s="10">
        <f>IF(N(H1491)&gt;0,E1491/H1491,"")</f>
        <v/>
      </c>
      <c r="M1491" s="11">
        <f>IF(N(E1491)&gt;0,I1491/E1491,"")</f>
        <v/>
      </c>
      <c r="N1491" s="10">
        <f>IF(AND(E1491="",I1491=""),"",N(I1491)*(1-COM-COM_SHOP)-N(E1491)*(1+IMP_META))</f>
        <v/>
      </c>
      <c r="O1491" s="37" t="n"/>
    </row>
    <row r="1492">
      <c r="A1492" s="36" t="n"/>
      <c r="B1492" s="37" t="n"/>
      <c r="C1492" s="37" t="n"/>
      <c r="D1492" s="38">
        <f>IF(C1492="","",IFERROR(INDEX(Anuncios!$B$6:$B$65,MATCH(C1492,Anuncios!$A$6:$A$65,0)),"(no está en Anuncios)"))</f>
        <v/>
      </c>
      <c r="E1492" s="39" t="n"/>
      <c r="F1492" s="40" t="n"/>
      <c r="G1492" s="40" t="n"/>
      <c r="H1492" s="40" t="n"/>
      <c r="I1492" s="39" t="n"/>
      <c r="J1492" s="13">
        <f>IF(N(F1492)&gt;0,G1492/F1492,"")</f>
        <v/>
      </c>
      <c r="K1492" s="10">
        <f>IF(N(G1492)&gt;0,E1492/G1492,"")</f>
        <v/>
      </c>
      <c r="L1492" s="10">
        <f>IF(N(H1492)&gt;0,E1492/H1492,"")</f>
        <v/>
      </c>
      <c r="M1492" s="11">
        <f>IF(N(E1492)&gt;0,I1492/E1492,"")</f>
        <v/>
      </c>
      <c r="N1492" s="10">
        <f>IF(AND(E1492="",I1492=""),"",N(I1492)*(1-COM-COM_SHOP)-N(E1492)*(1+IMP_META))</f>
        <v/>
      </c>
      <c r="O1492" s="37" t="n"/>
    </row>
    <row r="1493">
      <c r="A1493" s="36" t="n"/>
      <c r="B1493" s="37" t="n"/>
      <c r="C1493" s="37" t="n"/>
      <c r="D1493" s="38">
        <f>IF(C1493="","",IFERROR(INDEX(Anuncios!$B$6:$B$65,MATCH(C1493,Anuncios!$A$6:$A$65,0)),"(no está en Anuncios)"))</f>
        <v/>
      </c>
      <c r="E1493" s="39" t="n"/>
      <c r="F1493" s="40" t="n"/>
      <c r="G1493" s="40" t="n"/>
      <c r="H1493" s="40" t="n"/>
      <c r="I1493" s="39" t="n"/>
      <c r="J1493" s="13">
        <f>IF(N(F1493)&gt;0,G1493/F1493,"")</f>
        <v/>
      </c>
      <c r="K1493" s="10">
        <f>IF(N(G1493)&gt;0,E1493/G1493,"")</f>
        <v/>
      </c>
      <c r="L1493" s="10">
        <f>IF(N(H1493)&gt;0,E1493/H1493,"")</f>
        <v/>
      </c>
      <c r="M1493" s="11">
        <f>IF(N(E1493)&gt;0,I1493/E1493,"")</f>
        <v/>
      </c>
      <c r="N1493" s="10">
        <f>IF(AND(E1493="",I1493=""),"",N(I1493)*(1-COM-COM_SHOP)-N(E1493)*(1+IMP_META))</f>
        <v/>
      </c>
      <c r="O1493" s="37" t="n"/>
    </row>
    <row r="1494">
      <c r="A1494" s="36" t="n"/>
      <c r="B1494" s="37" t="n"/>
      <c r="C1494" s="37" t="n"/>
      <c r="D1494" s="38">
        <f>IF(C1494="","",IFERROR(INDEX(Anuncios!$B$6:$B$65,MATCH(C1494,Anuncios!$A$6:$A$65,0)),"(no está en Anuncios)"))</f>
        <v/>
      </c>
      <c r="E1494" s="39" t="n"/>
      <c r="F1494" s="40" t="n"/>
      <c r="G1494" s="40" t="n"/>
      <c r="H1494" s="40" t="n"/>
      <c r="I1494" s="39" t="n"/>
      <c r="J1494" s="13">
        <f>IF(N(F1494)&gt;0,G1494/F1494,"")</f>
        <v/>
      </c>
      <c r="K1494" s="10">
        <f>IF(N(G1494)&gt;0,E1494/G1494,"")</f>
        <v/>
      </c>
      <c r="L1494" s="10">
        <f>IF(N(H1494)&gt;0,E1494/H1494,"")</f>
        <v/>
      </c>
      <c r="M1494" s="11">
        <f>IF(N(E1494)&gt;0,I1494/E1494,"")</f>
        <v/>
      </c>
      <c r="N1494" s="10">
        <f>IF(AND(E1494="",I1494=""),"",N(I1494)*(1-COM-COM_SHOP)-N(E1494)*(1+IMP_META))</f>
        <v/>
      </c>
      <c r="O1494" s="37" t="n"/>
    </row>
    <row r="1495">
      <c r="A1495" s="36" t="n"/>
      <c r="B1495" s="37" t="n"/>
      <c r="C1495" s="37" t="n"/>
      <c r="D1495" s="38">
        <f>IF(C1495="","",IFERROR(INDEX(Anuncios!$B$6:$B$65,MATCH(C1495,Anuncios!$A$6:$A$65,0)),"(no está en Anuncios)"))</f>
        <v/>
      </c>
      <c r="E1495" s="39" t="n"/>
      <c r="F1495" s="40" t="n"/>
      <c r="G1495" s="40" t="n"/>
      <c r="H1495" s="40" t="n"/>
      <c r="I1495" s="39" t="n"/>
      <c r="J1495" s="13">
        <f>IF(N(F1495)&gt;0,G1495/F1495,"")</f>
        <v/>
      </c>
      <c r="K1495" s="10">
        <f>IF(N(G1495)&gt;0,E1495/G1495,"")</f>
        <v/>
      </c>
      <c r="L1495" s="10">
        <f>IF(N(H1495)&gt;0,E1495/H1495,"")</f>
        <v/>
      </c>
      <c r="M1495" s="11">
        <f>IF(N(E1495)&gt;0,I1495/E1495,"")</f>
        <v/>
      </c>
      <c r="N1495" s="10">
        <f>IF(AND(E1495="",I1495=""),"",N(I1495)*(1-COM-COM_SHOP)-N(E1495)*(1+IMP_META))</f>
        <v/>
      </c>
      <c r="O1495" s="37" t="n"/>
    </row>
    <row r="1496">
      <c r="A1496" s="36" t="n"/>
      <c r="B1496" s="37" t="n"/>
      <c r="C1496" s="37" t="n"/>
      <c r="D1496" s="38">
        <f>IF(C1496="","",IFERROR(INDEX(Anuncios!$B$6:$B$65,MATCH(C1496,Anuncios!$A$6:$A$65,0)),"(no está en Anuncios)"))</f>
        <v/>
      </c>
      <c r="E1496" s="39" t="n"/>
      <c r="F1496" s="40" t="n"/>
      <c r="G1496" s="40" t="n"/>
      <c r="H1496" s="40" t="n"/>
      <c r="I1496" s="39" t="n"/>
      <c r="J1496" s="13">
        <f>IF(N(F1496)&gt;0,G1496/F1496,"")</f>
        <v/>
      </c>
      <c r="K1496" s="10">
        <f>IF(N(G1496)&gt;0,E1496/G1496,"")</f>
        <v/>
      </c>
      <c r="L1496" s="10">
        <f>IF(N(H1496)&gt;0,E1496/H1496,"")</f>
        <v/>
      </c>
      <c r="M1496" s="11">
        <f>IF(N(E1496)&gt;0,I1496/E1496,"")</f>
        <v/>
      </c>
      <c r="N1496" s="10">
        <f>IF(AND(E1496="",I1496=""),"",N(I1496)*(1-COM-COM_SHOP)-N(E1496)*(1+IMP_META))</f>
        <v/>
      </c>
      <c r="O1496" s="37" t="n"/>
    </row>
    <row r="1497">
      <c r="A1497" s="36" t="n"/>
      <c r="B1497" s="37" t="n"/>
      <c r="C1497" s="37" t="n"/>
      <c r="D1497" s="38">
        <f>IF(C1497="","",IFERROR(INDEX(Anuncios!$B$6:$B$65,MATCH(C1497,Anuncios!$A$6:$A$65,0)),"(no está en Anuncios)"))</f>
        <v/>
      </c>
      <c r="E1497" s="39" t="n"/>
      <c r="F1497" s="40" t="n"/>
      <c r="G1497" s="40" t="n"/>
      <c r="H1497" s="40" t="n"/>
      <c r="I1497" s="39" t="n"/>
      <c r="J1497" s="13">
        <f>IF(N(F1497)&gt;0,G1497/F1497,"")</f>
        <v/>
      </c>
      <c r="K1497" s="10">
        <f>IF(N(G1497)&gt;0,E1497/G1497,"")</f>
        <v/>
      </c>
      <c r="L1497" s="10">
        <f>IF(N(H1497)&gt;0,E1497/H1497,"")</f>
        <v/>
      </c>
      <c r="M1497" s="11">
        <f>IF(N(E1497)&gt;0,I1497/E1497,"")</f>
        <v/>
      </c>
      <c r="N1497" s="10">
        <f>IF(AND(E1497="",I1497=""),"",N(I1497)*(1-COM-COM_SHOP)-N(E1497)*(1+IMP_META))</f>
        <v/>
      </c>
      <c r="O1497" s="37" t="n"/>
    </row>
    <row r="1498">
      <c r="A1498" s="36" t="n"/>
      <c r="B1498" s="37" t="n"/>
      <c r="C1498" s="37" t="n"/>
      <c r="D1498" s="38">
        <f>IF(C1498="","",IFERROR(INDEX(Anuncios!$B$6:$B$65,MATCH(C1498,Anuncios!$A$6:$A$65,0)),"(no está en Anuncios)"))</f>
        <v/>
      </c>
      <c r="E1498" s="39" t="n"/>
      <c r="F1498" s="40" t="n"/>
      <c r="G1498" s="40" t="n"/>
      <c r="H1498" s="40" t="n"/>
      <c r="I1498" s="39" t="n"/>
      <c r="J1498" s="13">
        <f>IF(N(F1498)&gt;0,G1498/F1498,"")</f>
        <v/>
      </c>
      <c r="K1498" s="10">
        <f>IF(N(G1498)&gt;0,E1498/G1498,"")</f>
        <v/>
      </c>
      <c r="L1498" s="10">
        <f>IF(N(H1498)&gt;0,E1498/H1498,"")</f>
        <v/>
      </c>
      <c r="M1498" s="11">
        <f>IF(N(E1498)&gt;0,I1498/E1498,"")</f>
        <v/>
      </c>
      <c r="N1498" s="10">
        <f>IF(AND(E1498="",I1498=""),"",N(I1498)*(1-COM-COM_SHOP)-N(E1498)*(1+IMP_META))</f>
        <v/>
      </c>
      <c r="O1498" s="37" t="n"/>
    </row>
    <row r="1499">
      <c r="A1499" s="36" t="n"/>
      <c r="B1499" s="37" t="n"/>
      <c r="C1499" s="37" t="n"/>
      <c r="D1499" s="38">
        <f>IF(C1499="","",IFERROR(INDEX(Anuncios!$B$6:$B$65,MATCH(C1499,Anuncios!$A$6:$A$65,0)),"(no está en Anuncios)"))</f>
        <v/>
      </c>
      <c r="E1499" s="39" t="n"/>
      <c r="F1499" s="40" t="n"/>
      <c r="G1499" s="40" t="n"/>
      <c r="H1499" s="40" t="n"/>
      <c r="I1499" s="39" t="n"/>
      <c r="J1499" s="13">
        <f>IF(N(F1499)&gt;0,G1499/F1499,"")</f>
        <v/>
      </c>
      <c r="K1499" s="10">
        <f>IF(N(G1499)&gt;0,E1499/G1499,"")</f>
        <v/>
      </c>
      <c r="L1499" s="10">
        <f>IF(N(H1499)&gt;0,E1499/H1499,"")</f>
        <v/>
      </c>
      <c r="M1499" s="11">
        <f>IF(N(E1499)&gt;0,I1499/E1499,"")</f>
        <v/>
      </c>
      <c r="N1499" s="10">
        <f>IF(AND(E1499="",I1499=""),"",N(I1499)*(1-COM-COM_SHOP)-N(E1499)*(1+IMP_META))</f>
        <v/>
      </c>
      <c r="O1499" s="37" t="n"/>
    </row>
    <row r="1500">
      <c r="A1500" s="36" t="n"/>
      <c r="B1500" s="37" t="n"/>
      <c r="C1500" s="37" t="n"/>
      <c r="D1500" s="38">
        <f>IF(C1500="","",IFERROR(INDEX(Anuncios!$B$6:$B$65,MATCH(C1500,Anuncios!$A$6:$A$65,0)),"(no está en Anuncios)"))</f>
        <v/>
      </c>
      <c r="E1500" s="39" t="n"/>
      <c r="F1500" s="40" t="n"/>
      <c r="G1500" s="40" t="n"/>
      <c r="H1500" s="40" t="n"/>
      <c r="I1500" s="39" t="n"/>
      <c r="J1500" s="13">
        <f>IF(N(F1500)&gt;0,G1500/F1500,"")</f>
        <v/>
      </c>
      <c r="K1500" s="10">
        <f>IF(N(G1500)&gt;0,E1500/G1500,"")</f>
        <v/>
      </c>
      <c r="L1500" s="10">
        <f>IF(N(H1500)&gt;0,E1500/H1500,"")</f>
        <v/>
      </c>
      <c r="M1500" s="11">
        <f>IF(N(E1500)&gt;0,I1500/E1500,"")</f>
        <v/>
      </c>
      <c r="N1500" s="10">
        <f>IF(AND(E1500="",I1500=""),"",N(I1500)*(1-COM-COM_SHOP)-N(E1500)*(1+IMP_META))</f>
        <v/>
      </c>
      <c r="O1500" s="37" t="n"/>
    </row>
    <row r="1501">
      <c r="A1501" s="36" t="n"/>
      <c r="B1501" s="37" t="n"/>
      <c r="C1501" s="37" t="n"/>
      <c r="D1501" s="38">
        <f>IF(C1501="","",IFERROR(INDEX(Anuncios!$B$6:$B$65,MATCH(C1501,Anuncios!$A$6:$A$65,0)),"(no está en Anuncios)"))</f>
        <v/>
      </c>
      <c r="E1501" s="39" t="n"/>
      <c r="F1501" s="40" t="n"/>
      <c r="G1501" s="40" t="n"/>
      <c r="H1501" s="40" t="n"/>
      <c r="I1501" s="39" t="n"/>
      <c r="J1501" s="13">
        <f>IF(N(F1501)&gt;0,G1501/F1501,"")</f>
        <v/>
      </c>
      <c r="K1501" s="10">
        <f>IF(N(G1501)&gt;0,E1501/G1501,"")</f>
        <v/>
      </c>
      <c r="L1501" s="10">
        <f>IF(N(H1501)&gt;0,E1501/H1501,"")</f>
        <v/>
      </c>
      <c r="M1501" s="11">
        <f>IF(N(E1501)&gt;0,I1501/E1501,"")</f>
        <v/>
      </c>
      <c r="N1501" s="10">
        <f>IF(AND(E1501="",I1501=""),"",N(I1501)*(1-COM-COM_SHOP)-N(E1501)*(1+IMP_META))</f>
        <v/>
      </c>
      <c r="O1501" s="37" t="n"/>
    </row>
  </sheetData>
  <conditionalFormatting sqref="M2:N1501">
    <cfRule type="expression" priority="1" dxfId="0">
      <formula>AND(ISNUMBER($N2),$N2&lt;0)</formula>
    </cfRule>
    <cfRule type="expression" priority="2" dxfId="1">
      <formula>AND(ISNUMBER($N2),$N2&gt;0)</formula>
    </cfRule>
  </conditionalFormatting>
  <dataValidations count="2">
    <dataValidation sqref="B2:B1501" showDropDown="0" showInputMessage="0" showErrorMessage="0" allowBlank="1" type="list">
      <formula1>"Test ABO,Escala CBO"</formula1>
    </dataValidation>
    <dataValidation sqref="C2:C1501" showDropDown="0" showInputMessage="0" showErrorMessage="0" allowBlank="1" type="list">
      <formula1>=Anuncios!$A$6:$A$65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2026-09-27T15:42:31Z</dcterms:created>
  <dcterms:modified xsi:type="dcterms:W3CDTF">2026-09-27T15:42:32Z</dcterms:modified>
</cp:coreProperties>
</file>